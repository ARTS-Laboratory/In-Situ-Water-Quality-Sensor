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Github Repos/In-Situ-Water-Quality-Sensor/System_development/Jocassee/V0.5.1/BIll_Of_Matirials/"/>
    </mc:Choice>
  </mc:AlternateContent>
  <xr:revisionPtr revIDLastSave="6" documentId="13_ncr:1_{C66C5CF2-28A1-428B-9AFB-879C5E403CEE}" xr6:coauthVersionLast="47" xr6:coauthVersionMax="47" xr10:uidLastSave="{657A2C6A-CCFA-4E5B-B424-897EC443CD55}"/>
  <bookViews>
    <workbookView xWindow="-120" yWindow="-16320" windowWidth="29040" windowHeight="15720" xr2:uid="{3F872AE6-6710-4898-8598-9832416C0361}"/>
  </bookViews>
  <sheets>
    <sheet name="Electronics BOM" sheetId="1" r:id="rId1"/>
    <sheet name="Fixture BO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D9" i="2"/>
  <c r="E25" i="1" l="1"/>
</calcChain>
</file>

<file path=xl/sharedStrings.xml><?xml version="1.0" encoding="utf-8"?>
<sst xmlns="http://schemas.openxmlformats.org/spreadsheetml/2006/main" count="125" uniqueCount="112">
  <si>
    <t>PCB Reference</t>
  </si>
  <si>
    <t>Component spec / part number</t>
  </si>
  <si>
    <t>Qty</t>
  </si>
  <si>
    <t>Unit cost (USD)</t>
  </si>
  <si>
    <t>Net cost (USD)</t>
  </si>
  <si>
    <t>Vendor 1</t>
  </si>
  <si>
    <t>Vendor 2</t>
  </si>
  <si>
    <t>Vendor 3</t>
  </si>
  <si>
    <t>C1 0.1uF</t>
  </si>
  <si>
    <t>Capacitor_SMD:C_1206_3216Metric_Pad1.33x1.80mm_HandSolder</t>
  </si>
  <si>
    <t>https://www.digikey.com/en/products/detail/nextgen-components/1206B104K500BD/15776047?s=N4IgjCBcpgLFoDGUBmBDANgZwKYBoQB7KAbRACYBmADgHYaQBdAgBwBcoQBlNgJwEsAdgHMQAXwLkADLACcCEMkjps%2BIqRBSAdGAAEAVoBiTVh0ggAqoP5sA8igCyONFgCuvHOIIBaeNEWomLgExJBkAGyUAKxRTGISFBqIaCxoiDaEvHFAA</t>
  </si>
  <si>
    <t>U3</t>
  </si>
  <si>
    <t>SWITCH OS102011MS2QN1</t>
  </si>
  <si>
    <t>https://www.digikey.com/en/products/detail/c-k/OS102011MS2QN1/411602</t>
  </si>
  <si>
    <t xml:space="preserve">https://www.mouser.com/ProductDetail/CK/OS102011MS2QN1?qs=WtljUlYws5RvQ1hEv876nQ%3D%3D&amp;mgh=1&amp;utm_id=22174357374&amp;utm_source=google&amp;utm_medium=cpc&amp;utm_marketing_tactic=amercorp&amp;gad_source=1&amp;gad_campaignid=22295195434&amp;gbraid=0AAAAADn_wf37NcPripZZCoy9AiD-OvAcG&amp;gclid=Cj0KCQjwgvnCBhCqARIsADBLZoKyGA5ClHUZR7eCJ8ET8sUhF8oXtsBAC19VweIc1X0k5wSmKxZJZCcaAhNFEALw_wcB </t>
  </si>
  <si>
    <t xml:space="preserve">https://www.jameco.com/z/OS102011MS2QN1-C-K-Slide-Switch-SPDT-ON-ON-100mA-12VDC-Through-Hole-5-08mm-Pitch_2313927.html?srsltid=AfmBOooPbd-Z6ToSODltkR-iIt2ROKqtFbsAIQSOobzGyu7T6KQzSeXa. </t>
  </si>
  <si>
    <t>D1</t>
  </si>
  <si>
    <t>LED 3.0mm</t>
  </si>
  <si>
    <t>https://www.digikey.com/en/products/detail/w%C3%BCrth-elektronik/151033RS03000/4490003</t>
  </si>
  <si>
    <t>U2</t>
  </si>
  <si>
    <t>SD card module</t>
  </si>
  <si>
    <t>https://www.ebay.com/itm/203852249807?_skw=SD+card+module+mini&amp;itmmeta=01JWS7YRSNYRE9JPQ1403XF1SB&amp;hash=item2f768a7acf:g:8QAAAOSwqApl32li&amp;itmprp=enc%3AAQAKAAAA8FkggFvd1GGDu0w3yXCmi1ebfwHB6lyAy277lL4U8xOIhySGOtjI0bRPLZxMt0nwv62q7s0aZTz%2Bx%2F%2B7upL3MEA0K%2Ft0uJJWEl1PUNUul0C2kuW4nvX2%2BRwcD%2FhFGnTe%2FYG8zjgNvBu3TQY4IOsJphAfcfdUNAqbhaX7gXxY59Lj77JBWoN7w1LfwWyMjbSTm6GobMFWOs8mooWe2dthd87YxK7TTSBoyUD9D2pQE62PZubKATklktRZLCgMHdh0lcqvJRpnSkfD1qwChuyoZk51pvBJMF9jfr6RlQAGIR8TsCDyF0H7ZR59sGEcWXB%2FYA%3D%3D%7Ctkp%3ABFBMhI37p-Zl</t>
  </si>
  <si>
    <t>A1</t>
  </si>
  <si>
    <t>Arduino Nano</t>
  </si>
  <si>
    <t>https://www.ebay.com/itm/283932038203?_skw=arduino+nano&amp;itmmeta=01JWS81PY2BK5W7AA2FK7T4DBS&amp;hash=item421bab143b:g:LEAAAOSwdsFg2bYB&amp;itmprp=enc%3AAQAKAAAA8FkggFvd1GGDu0w3yXCmi1ctIY2mddW3r0Pkz46AoULbxKR%2BLiu5WOk62feEjacXqpl7sNYJ6oE5%2FIn8lx78btygJOm2GvQyRb5jvCpCuuGSTVPm9c07lGI3HNmnry6uXc%2FlnST9gzmAQ3twOlrPRg6L2z%2FrDEBP6lCqIj7RU29pAxunTYC5VGu28NSWzm60eskDXI6rlTmkwJlAt4v66kpFByyhd4g%2F6NwsaYSfKxSXG6ADA884XQD96VOVCodbJCGKGFFk37cKyzrKEAETZC68GmzoBgXTDf9gi8GNs2wRWd%2FEf3cay51rfG1Vttxmiw%3D%3D%7Ctkp%3ABk9SR5jvhqjmZQ</t>
  </si>
  <si>
    <t>U6</t>
  </si>
  <si>
    <t>DS3231M+</t>
  </si>
  <si>
    <t>https://www.digikey.com/en/products/detail/analog-devices-inc-maxim-integrated/DS3231M-TRL/2402421</t>
  </si>
  <si>
    <t>https://www.mouser.com/ProductDetail/Analog-Devices-Maxim-Integrated/DS3231M+TRL?qs=Bakm8ERcljq5PBzSwLfmgg%3D%3D&amp;utm_id=22337522785&amp;utm_source=google&amp;utm_medium=cpc&amp;utm_marketing_tactic=amercorp&amp;gad_source=1&amp;gad_campaignid=22327353774&amp;gbraid=0AAAAADn_wf3tXOv7c9Y4wq2-Yvx_HD5I2&amp;gclid=Cj0KCQjwgvnCBhCqARIsADBLZoJwmYFO86Wu0iC_hUhm8R9ynjb29I-YIssyZ4USDWwZGmZXPXlNSLQaAlaREALw_wcB</t>
  </si>
  <si>
    <t>BT1</t>
  </si>
  <si>
    <t>Coin cell Battery Holder BK-870</t>
  </si>
  <si>
    <t>https://www.digikey.com/en/products/detail/mpd-memory-protection-devices/BK-870/3829737</t>
  </si>
  <si>
    <t>U8</t>
  </si>
  <si>
    <t>3pin XH2.54 male connector</t>
  </si>
  <si>
    <t>https://www.digikey.com/en/products/detail/jst-sales-america-inc/B3B-XH-A/1651046</t>
  </si>
  <si>
    <t>R2 470ohm</t>
  </si>
  <si>
    <t>Resistor_SMD:R_1206_3216Metric_Pad1.30x1.75mm_HandSolder</t>
  </si>
  <si>
    <t>https://www.digikey.com/en/products/detail/bourns-inc/CR1206-JW-471ELF/3741054</t>
  </si>
  <si>
    <t>R1 4.7K</t>
  </si>
  <si>
    <t>https://www.digikey.com/en/products/detail/bourns-inc/CR1206-JW-472ELF/3785627</t>
  </si>
  <si>
    <t>N/A</t>
  </si>
  <si>
    <t>Coin cell battery CR-1025-ND</t>
  </si>
  <si>
    <t>https://www.digikey.com/en/products/detail/jauch-quartz/CR1025/16399048</t>
  </si>
  <si>
    <t>https://www.ebay.com/itm/184508325888?chn=ps&amp;_trkparms=ispr%3D1&amp;amdata=enc%3A1ylpS771GTUqS6YST7-apLg15&amp;norover=1&amp;mkevt=1&amp;mkrid=711-117182-37290-0&amp;mkcid=2&amp;mkscid=101&amp;itemid=184508325888&amp;targetid=2321110924221&amp;device=c&amp;mktype=pla&amp;googleloc=9010433&amp;poi=&amp;campaignid=21400684010&amp;mkgroupid=173029508068&amp;rlsatarget=aud-1317046432738:pla-2321110924221&amp;abcId=9448486&amp;merchantid=118955226&amp;gad_source=1&amp;gad_campaignid=21400684010&amp;gbraid=0AAAAAD_QDh99tBHCSfvM5L2BJj0mpS-rS&amp;gclid=Cj0KCQjwmK_CBhCEARIsAMKwcD7LhNJPcz_yB99-iNQOigF1uTLSpT72VMRZDt4bpaZcj-4-2mtZYDUaAlYNEALw_wcB</t>
  </si>
  <si>
    <t>https://www.motionrc.com/products/admiral-3300mah-3s-11-1v-30c-lipo-battery-with-t-connector-epr33003?variant=19047011142&amp;country=US&amp;currency=USD&amp;utm_medium=product_sync&amp;utm_source=google&amp;utm_content=sag_organic&amp;utm_campaign=sag_organic&amp;gad_source=1&amp;gad_campaignid=15448361688&amp;gbraid=0AAAAADrr98ZD1fBrj_NSKbi2hqFZgUrfk&amp;gclid=Cj0KCQjwgvnCBhCqARIsADBLZoIjaMcUy2YxUOv0QnymhbqBDrWMvbmN8Xkj10xanB3EhIRIsKdz-QAaAkkxEALw_wcB</t>
  </si>
  <si>
    <t>Atlas pH conditioning circuit</t>
  </si>
  <si>
    <t>https://www.digikey.com/en/products/detail/atlas-scientific/SRV-PH/16003016?gad_source=1&amp;gad_campaignid=20243136172&amp;gbraid=0AAAAADrbLlgG2JWtg72d3seRm9FjQrAou&amp;gclid=CjwKCAjwl_XBBhAUEiwAWK2hznU8J98oZ-_7GD7xu8VgPNOpSYHGji59g_m7GB07rUIyNC8TPEMLYhoCYgIQAvD_BwE&amp;gclsrc=aw.ds</t>
  </si>
  <si>
    <t>Turbidity conditioning circuit and sensor</t>
  </si>
  <si>
    <t>https://www.digikey.com/en/products/detail/dfrobot/SEN0189/6588606?gad_source=1&amp;gad_campaignid=20243136172&amp;gbraid=0AAAAADrbLljucuLmqEe4bIBP9pEZ4VG5H&amp;gclid=Cj0KCQjwjJrCBhCXARIsAI5x66VOazEoiMlVT5LyfIrJo00cvNuFdGVQSUgYSB1oL8UVePiNsSg_drQaAosTEALw_wcB&amp;gclsrc=aw.ds</t>
  </si>
  <si>
    <t>https://www.keyestudio.com/products/keyestudio-turbidity-sensor-v10-with-wires-compatible-with-arduino-for-water-testing</t>
  </si>
  <si>
    <t>pH probe ENV 30</t>
  </si>
  <si>
    <t>https://www.digikey.com/en/products/detail/atlas-scientific/ENV-30-PH/16003028?gad_source=1&amp;gad_campaignid=20232005509&amp;gbraid=0AAAAADrbLliv6K8bW91YgzNqrt8ONo2QZ&amp;gclid=CjwKCAjwl_XBBhAUEiwAWK2hzpcO_PthZYBVBiTP7blHnIK4NnAfIL94wP-XbBh0unyx4OZTtFbw-hoC7p4QAvD_BwE&amp;gclsrc=aw.ds</t>
  </si>
  <si>
    <t>https://atlas-scientific.com/probes/consumer-grade-ph-probe/?srsltid=AfmBOoog-hWZh-AcQq7td_rVXcdNzJnbRIhdNeb6Zga2Xtm4j7G4n8_-</t>
  </si>
  <si>
    <t>TDS probe and conditioning circuit</t>
  </si>
  <si>
    <t>https://www.ebay.com/itm/184291373846?chn=ps&amp;norover=1&amp;mkevt=1&amp;mkrid=711-117182-37290-0&amp;mkcid=2&amp;mkscid=101&amp;itemid=184291373846&amp;targetid=2299003535955&amp;device=c&amp;mktype=pla&amp;googleloc=9010352&amp;poi=&amp;campaignid=21214315381&amp;mkgroupid=161363866036&amp;rlsatarget=pla-2299003535955&amp;abcId=9407526&amp;merchantid=114832125&amp;gad_source=1&amp;gad_campaignid=21214315381&amp;gbraid=0AAAAAD_QDh-WxDW3V6tycLWe8cGWhVCet&amp;gclid=CjwKCAjwl_XBBhAUEiwAWK2hzg3Q1Yr5Qywajf85ozukT0eBrnuBw2qcSHroRC1sgV2p7BH7wwA-ZRoCue8QAvD_BwE</t>
  </si>
  <si>
    <t>https://www.keyestudio.com/products/keyestudio-tds-meter-v10-board-module-water-meter-filter-measuring-water-quality-for-arduino-unor3</t>
  </si>
  <si>
    <t>ds18b20 temperature sensor</t>
  </si>
  <si>
    <t>https://www.ebay.com/itm/224193475936?_skw=ds18b20&amp;itmmeta=01JWS9436Y9FERAQTKDM3HA2HJ&amp;hash=item3432f8f560:g:o3YAAOSwU~BfhkxY&amp;itmprp=enc%3AAQAKAAAA4FkggFvd1GGDu0w3yXCmi1eZVpkWHqnJ1CXCxYwe7hH8MTDd21uDFcQkxB6UmuFL1nzEvMyPnwrLbfpibrtSw6PJ6oEOTjHA%2BkjlTR3A1QaHWZf0kE2w%2FhydudbtDkwEMazkGGG3RxFLdxOnAGzZBTlCUEFESqTvAhNn%2Bjye4iJMlnnPGLOgNL40CCfjp7qUswlfOwv0yjnO%2Ft2tQ0Gx2dXExLjwUsFFwJLjU6q8t9vdK3%2FxrsrClja0ZOKas2024SmxIkA1w06CzLtlKOw3UkAT%2B%2FRsayZchEvbfvz6zTfc%7Ctkp%3ABFBM0rOQqeZl</t>
  </si>
  <si>
    <t>https://www.dfrobot.com/product-689.html?gad_source=1&amp;gad_campaignid=22388643497&amp;gbraid=0AAAAADucPlAUqBsu3pP_X85ogWbbBBgBa&amp;gclid=Cj0KCQjwgvnCBhCqARIsADBLZoJ4ZCL5rKQ_98XjI9MZBlPRaBIgZRD5kPNfOK_USCuLZD6sqCQOP5UaArAjEALw_wcB</t>
  </si>
  <si>
    <t>Male T connector for lipo</t>
  </si>
  <si>
    <t>https://www.digikey.com/en/products/detail/sparkfun-electronics/11864/6818769?gad_source=1&amp;gad_campaignid=20470400566&amp;gbraid=0AAAAADrbLliIHIRZTdCUnz0dgTjq27lO9&amp;gclid=CjwKCAjwl_XBBhAUEiwAWK2hzmI8CZGH_aIaTxCITd4vJTEk9RuU9JLQrgEuPZd__e3-SqyQUR2pSRoCVAQQAvD_BwE&amp;gclsrc=aw.ds</t>
  </si>
  <si>
    <t>https://rcbattery.com/deans-style-t-connector-plug-male-side-5pcs-bag.html?gad_source=1&amp;gad_campaignid=12748770885&amp;gbraid=0AAAAACRJLSYkFmISdyi2KqVyCMKzbiA4R&amp;gclid=Cj0KCQjwgvnCBhCqARIsADBLZoK-nNIxyPzzUeK3H1UV2WeP_C8kJJqf35ExhChwl4khohXJRrsdQw8aAgtvEALw_wcB</t>
  </si>
  <si>
    <t>15 pin female header 2.54 mm</t>
  </si>
  <si>
    <t>https://www.digikey.com/en/products/detail/samtec-inc/SSW-115-01-F-S/7879494?gad_source=1&amp;gad_campaignid=17336967819&amp;gbraid=0AAAAADrbLlhPPMEXoJVxfpFdpEMhcu0YV&amp;gclid=Cj0KCQjwjJrCBhCXARIsAI5x66X6luvpzic7SpeQdTZEq5PP26iV0Bmu3w1zSQ-hOKFa4-GjmDPOJZMaAjkJEALw_wcB&amp;gclsrc=aw.ds</t>
  </si>
  <si>
    <t>https://oshpark.com/</t>
  </si>
  <si>
    <t>Total</t>
  </si>
  <si>
    <t>Component</t>
  </si>
  <si>
    <t xml:space="preserve">Qty per sensor </t>
  </si>
  <si>
    <t>Unit price (USD)</t>
  </si>
  <si>
    <t>Net price (USD)</t>
  </si>
  <si>
    <t>vendor 1</t>
  </si>
  <si>
    <t>vendor 2</t>
  </si>
  <si>
    <t>vendor 3</t>
  </si>
  <si>
    <t>PVC union</t>
  </si>
  <si>
    <t>https://www.grainger.com/product/22FL17?RIID=51819294775&amp;GID=729415832</t>
  </si>
  <si>
    <t>https://www.homedepot.com/pep/Apollo-2-in-x-2-in-PVC-Slip-Joint-x-Slip-Joint-Union-PVCU2/317901067?source=shoppingads&amp;locale=en-US&amp;pla&amp;utm_source=google&amp;utm_medium=vantage&amp;utm_campaign=52958&amp;utm_content=55246&amp;mtc=SHOPPING-RM-RMP-GGL-D26P-Multi-NA-APOLLO-NA-PMAX-NA-NA-MK897429001-52958-NBR-876-NA-VNT-FY25_Q1_Q4_THEMOSACKGROUPLLC_D26P_RM_ES_AON&amp;cm_mmc=SHOPPING-RM-RMP-GGL-D26P-Multi-NA-APOLLO-NA-PMAX-NA-NA-MK897429001-52958-NBR-876-NA-VNT-FY25_Q1_Q4_THEMOSACKGROUPLLC_D26P_RM_ES_AON-22224745817--&amp;gad_source=1&amp;gad_campaignid=22228588078&amp;gbraid=0AAAAAolLu989NOds_i5DS89vyDbOz8lsX&amp;gclid=Cj0KCQjwmK_CBhCEARIsAMKwcD4wwYuEy7LBT_5YeRGvsomWTxN9uYDhqX3X0H-OD7fiaDyYfmt8F6IaAkX6EALw_wcB&amp;gclsrc=aw.ds</t>
  </si>
  <si>
    <t>Schedule 40 clear PVC pipe</t>
  </si>
  <si>
    <t>10 inches</t>
  </si>
  <si>
    <t>https://www.grainger.com/product/1AAZ8?gucid=N:N:PS:Paid:GGL:CSM-2295:Y8ZQJW:20500801:APZ_1&amp;gclsrc=aw.ds&amp;gad_source=1&amp;gad_campaignid=21375667808&amp;gclid=EAIaIQobChMI5eGkh7jsjQMV0kf_AR21aSMcEAQYASABEgKqH_D_BwE</t>
  </si>
  <si>
    <t>Schedule 40 socket cap</t>
  </si>
  <si>
    <t>https://www.grainger.com/product/22FJ37?RIID=51819294775&amp;GID=729415832</t>
  </si>
  <si>
    <t>https://www.homedepot.com/pep/Charlotte-Pipe-2-in-PVC-Socket-Schedule-40-Pressure-Cap-PVC021161600HD/203811678?source=shoppingads&amp;locale=en-US&amp;pla&amp;mtc=SHOPPING-BF-CDP-GGL-D26P-026_001_PIPE_FITTING-NA-NA-NA-PLALIA-NA-NA-NA-NA-NBR-NA-NA-NEW-_PLATEST&amp;cm_mmc=SHOPPING-BF-CDP-GGL-D26P-026_001_PIPE_FITTING-NA-NA-NA-PLALIA-NA-NA-NA-NA-NBR-NA-NA-NEW-_PLATEST-22111492781-173962209835-331272778036&amp;gad_source=1&amp;gad_campaignid=22111492781&amp;gbraid=0AAAAADq61UeV86D9Cm_YSFHZ_xQoepPWR&amp;gclid=Cj0KCQjwmK_CBhCEARIsAMKwcD7hsSItt8-j7uHZGoH9ZOHc9dwlTetTnvM1YPIH3krowDG1cA4a5pgaAihuEALw_wcB&amp;gclsrc=aw.ds</t>
  </si>
  <si>
    <t>https://www.homedepot.com/pep/Charlotte-Pipe-2-in-OD-PVC-Test-Cap-Fitting-PVC-00132-0800HD/203947220?source=shoppingads&amp;locale=en-US&amp;pla&amp;mtc=SHOPPING-BF-CDP-GGL-D26P-026_001_PIPE_FITTING-NA-NA-NA-PMAX-NA-NA-NA-NA-NBR-NA-NA-NEW-_PMAXTEST&amp;cm_mmc=SHOPPING-BF-CDP-GGL-D26P-026_001_PIPE_FITTING-NA-NA-NA-PMAX-NA-NA-NA-NA-NBR-NA-NA-NEW-_PMAXTEST-17697557984--&amp;gad_source=1&amp;gad_campaignid=17687574624&amp;gbraid=0AAAAADq61Ufi2up4If7IM8ksnlizOw_kh&amp;gclid=Cj0KCQjwmK_CBhCEARIsAMKwcD49Pa9Dm1h-kkEkDeErgMj2io-t9JfRe__p697sfPoJ_qcdwpJCxWMaAjS6EALw_wcB&amp;gclsrc=aw.ds</t>
  </si>
  <si>
    <t>1 pack</t>
  </si>
  <si>
    <t>https://www.grainger.com/product/25F529?gucid=N:N:PS:Paid:GGL:CSM-2295:7Q8R4W:20500801:APZ_1&amp;gad_source=1&amp;gad_campaignid=21369464154&amp;gclid=CjwKCAjwr5_CBhBlEiwAzfwYuFQJQF4xih2fA0vbI8pFLV_pGSsb1GvVdYQqLORI5ApakqFVLNHuxxoCPr8QAvD_BwE&amp;gclsrc=aw.ds</t>
  </si>
  <si>
    <t>M3 standoffs 6mm</t>
  </si>
  <si>
    <t>https://www.digikey.com/en/products/detail/w%C3%BCrth-elektronik/971060365/9488747</t>
  </si>
  <si>
    <t>M3 standoofs 8mm</t>
  </si>
  <si>
    <t>https://www.digikey.com/en/products/detail/w%C3%BCrth-elektronik/971080365/9488753</t>
  </si>
  <si>
    <t>M3 nylon hex nut</t>
  </si>
  <si>
    <t>https://www.digikey.com/en/products/detail/keystone-electronics/4688/4499297?gad_source=1&amp;gad_campaignid=20228387720&amp;gbraid=0AAAAADrbLli1VgbFKUuvpIzwSoUwJlAei&amp;gclid=CjwKCAjwg7PDBhBxEiwAf1CVu7QKEee0JU-K02l5MqVnceC0gdderHe-hLzMdyz4TeR0D3XMq-DznhoC-KUQAvD_BwE&amp;gclsrc=aw.ds</t>
  </si>
  <si>
    <t>https://www.ebay.com/itm/365353922077?_skw=JANCHUN+Crystal+Clear+Epoxy+Resin+Kit+16oz%2C+Bubble-Free%2C+Anti-Yellowing%2C+Self+Leveling+Easy+Mix+1%3A1+Coating+and+Casting+Resin+for+Table+Top%2C+Molds%2C+Tumbler+Crafts%2C+Painting%2C+Jewelry%2C+DIY+Gifts&amp;itmmeta=01JZNA1PV76QEB7T5CVVGGADC6&amp;hash=item5510ca6e1d:g:UssAAOSwdp1nuvJj&amp;itmprp=enc%3AAQAKAAABgFkggFvd1GGDu0w3yXCmi1dHVQECfZTQB1WOP3QavZKz3SZQaYWwayfzVONKWvJ1jTnWdp6Xn19hQPm%2F%2BIFh7%2FireGFZKvn%2Bz28SoA2p9BeKSLHdyptx8Gh75ZA491OVFXEqapZjTDCx8SMJXCQJnWdlr5fQ1zqrHkusFQ%2Buv%2FJnt06mOMyh%2BviSKX3DDm7Gyz37g0ZdIsjfvGXoe%2BsabKoEN8pRXVfLun7J3fE82s4JbNVFIExKNnQla9gLOX4xDUpcaQU8Q1tbB1od47lTYE6z94boiTjh0scTrsdKPuwgWuGRDXo8xDh%2FsaNECxINipzL%2BQ8EsLcRfGKVmLzAwdtyDTEiFrZ3byFR7MsI2ZvsuQ9vRzdnM4OQyFv9XyKH9nkmmOxOwX3svnsF74v1aHluNr6Wt%2FzmUT4S9TCF5OlCsKBipMjcnUWovCgrcr0fhCT2jSZe%2Frv4TV7ZtdwJuH0%2FY2dXd1iXz72Wxu7FHj%2FySacqREnifJSVZ3IRFUHMAA%3D%3D%7Ctkp%3ABk9SR-Tthqr9ZQ</t>
  </si>
  <si>
    <t>2 part clear epoxy</t>
  </si>
  <si>
    <t>https://www.grainger.com/product/PC-PRODUCTS-Epoxy-Adhesive-PC-11-4AUV9?opr=ODOH&amp;analytics=FM:Order%20History</t>
  </si>
  <si>
    <t>https://www.ebay.com/itm/295005028017</t>
  </si>
  <si>
    <t>https://www.ebay.com/itm/326491279997</t>
  </si>
  <si>
    <t>https://www.grainger.com/product/Hex-Nut-M3-0-50-Thread-4AGJ9?opr=ODOH</t>
  </si>
  <si>
    <t>https://us.ovonicshop.com/products/ovonic-50c-11-1v-3000mah-3s1p-deans-2pcs?_pos=7&amp;_sid=207a99678&amp;_ss=r</t>
  </si>
  <si>
    <t>11.1V 3000mAH Lipo battery with T connector</t>
  </si>
  <si>
    <t>Rope</t>
  </si>
  <si>
    <t>pH protective pouch</t>
  </si>
  <si>
    <t>pH storage solution</t>
  </si>
  <si>
    <t>https://atlas-scientific.com/calibration-solutions/ph-storage-solution/?srsltid=AfmBOorsIdBbxfKrBl6G38CnnRbwJCsFRWl7AZR3hE2oikHPbFZAHFGp</t>
  </si>
  <si>
    <t>https://www.testequipmentdepot.com/ohaus-30064800-replacement-ph-sensor-protect-bottle-10-in-bag.html</t>
  </si>
  <si>
    <t>https://selectumllc.com/i/ohaus-30064800?s=ads&amp;gad_source=1&amp;gad_campaignid=23117909187&amp;gbraid=0AAAAApptgRbBnKHiWLgv_Xj-PtCTaUYZH&amp;gclid=CjwKCAjw3tzHBhBREiwAlMJoUtWRosas_68sTX7I6vxCYCXYfbPih4iKuoiMprlMt1mLn4OLAAYrwhoCVSAQAvD_BwE</t>
  </si>
  <si>
    <t>https://www.digikey.com/en/products/detail/atlas-scientific/CHEM-PH-S/16003006?gclsrc=aw.ds&amp;gad_source=1&amp;gad_campaignid=23033451739&amp;gbraid=0AAAAADrbLli2XEsCQZ2zgdqvDaP8ZT8-0&amp;gclid=CjwKCAjw3tzHBhBREiwAlMJoUtHQFEOHaOZNh9aVH6VR7LIrpjG4tOYAgYKosI_O4gav5yO-aztHlRoCq9sQAvD_BwE</t>
  </si>
  <si>
    <t>https://www.dscbalances.com/products/ph-sensor-protect-bottle-10-in-bag?srsltid=AfmBOopmccZQynijm5vo9RKbVMB_JPRNJqYQLrwHuYGu86piXkKum1hi</t>
  </si>
  <si>
    <t>https://www.grainger.com/product/OAKTON-Electrode-Storage-Solution-9MD19</t>
  </si>
  <si>
    <t>https://www.mscdirect.com/product/details/17155631</t>
  </si>
  <si>
    <t>https://www.harborfreight.com/18-in-x-50-ft-paracord-56740.html</t>
  </si>
  <si>
    <t>https://www.grainger.com/product/General-Purpose-Utility-Rope-20TL72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</si>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</sst>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8" fillId="0" borderId="10" xfId="42" applyBorder="1" applyAlignment="1">
      <alignment wrapText="1"/>
    </xf>
    <xf numFmtId="0" fontId="20" fillId="0" borderId="10" xfId="42" applyFont="1" applyFill="1" applyBorder="1" applyAlignment="1">
      <alignment horizontal="center" vertical="center"/>
    </xf>
    <xf numFmtId="0" fontId="20" fillId="0" borderId="10" xfId="42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16" fillId="34" borderId="11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 wrapText="1"/>
    </xf>
    <xf numFmtId="0" fontId="18" fillId="0" borderId="0" xfId="42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35" borderId="10" xfId="0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18" fillId="0" borderId="0" xfId="42"/>
    <xf numFmtId="0" fontId="18" fillId="0" borderId="10" xfId="42" applyBorder="1" applyAlignment="1">
      <alignment vertical="center"/>
    </xf>
    <xf numFmtId="0" fontId="19" fillId="0" borderId="10" xfId="0" applyFont="1" applyBorder="1" applyAlignment="1">
      <alignment vertical="center"/>
    </xf>
    <xf numFmtId="0" fontId="18" fillId="0" borderId="0" xfId="42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bourns-inc/CR1206-JW-472ELF/3785627" TargetMode="External"/><Relationship Id="rId18" Type="http://schemas.openxmlformats.org/officeDocument/2006/relationships/hyperlink" Target="https://www.digikey.com/en/products/detail/samtec-inc/SSW-115-01-F-S/7879494?gad_source=1&amp;gad_campaignid=17336967819&amp;gbraid=0AAAAADrbLlhPPMEXoJVxfpFdpEMhcu0YV&amp;gclid=Cj0KCQjwjJrCBhCXARIsAI5x66X6luvpzic7SpeQdTZEq5PP26iV0Bmu3w1zSQ-hOKFa4-GjmDPOJZMaAjkJEALw_wcB&amp;gclsrc=aw.ds" TargetMode="External"/><Relationship Id="rId26" Type="http://schemas.openxmlformats.org/officeDocument/2006/relationships/hyperlink" Target="https://www.mouser.com/ProductDetail/CK/OS102011MS2QN1?qs=WtljUlYws5RvQ1hEv876nQ%3D%3D&amp;mgh=1&amp;utm_id=22174357374&amp;utm_source=google&amp;utm_medium=cpc&amp;utm_marketing_tactic=amercorp&amp;gad_source=1&amp;gad_campaignid=22295195434&amp;gbraid=0AAAAADn_wf37NcPripZZCoy9AiD-OvAcG&amp;gclid=Cj0KCQjwgvnCBhCqARIsADBLZoKyGA5ClHUZR7eCJ8ET8sUhF8oXtsBAC19VweIc1X0k5wSmKxZJZCcaAhNFEALw_wcB" TargetMode="External"/><Relationship Id="rId39" Type="http://schemas.openxmlformats.org/officeDocument/2006/relationships/hyperlink" Target="https://www.grainger.com/product/OAKTON-Electrode-Storage-Solution-9MD19" TargetMode="External"/><Relationship Id="rId21" Type="http://schemas.openxmlformats.org/officeDocument/2006/relationships/hyperlink" Target="https://www.keyestudio.com/products/keyestudio-turbidity-sensor-v10-with-wires-compatible-with-arduino-for-water-testing" TargetMode="External"/><Relationship Id="rId34" Type="http://schemas.openxmlformats.org/officeDocument/2006/relationships/hyperlink" Target="https://www.dscbalances.com/products/ph-sensor-protect-bottle-10-in-bag?srsltid=AfmBOopmccZQynijm5vo9RKbVMB_JPRNJqYQLrwHuYGu86piXkKum1hi" TargetMode="External"/><Relationship Id="rId7" Type="http://schemas.openxmlformats.org/officeDocument/2006/relationships/hyperlink" Target="https://www.digikey.com/en/products/detail/sparkfun-electronics/11864/6818769?gad_source=1&amp;gad_campaignid=20470400566&amp;gbraid=0AAAAADrbLliIHIRZTdCUnz0dgTjq27lO9&amp;gclid=CjwKCAjwl_XBBhAUEiwAWK2hzmI8CZGH_aIaTxCITd4vJTEk9RuU9JLQrgEuPZd__e3-SqyQUR2pSRoCVAQQAvD_BwE&amp;gclsrc=aw.ds" TargetMode="External"/><Relationship Id="rId2" Type="http://schemas.openxmlformats.org/officeDocument/2006/relationships/hyperlink" Target="https://www.digikey.com/en/products/detail/jst-sales-america-inc/B3B-XH-A/1651046" TargetMode="External"/><Relationship Id="rId16" Type="http://schemas.openxmlformats.org/officeDocument/2006/relationships/hyperlink" Target="https://www.ebay.com/itm/184291373846?chn=ps&amp;norover=1&amp;mkevt=1&amp;mkrid=711-117182-37290-0&amp;mkcid=2&amp;mkscid=101&amp;itemid=184291373846&amp;targetid=2299003535955&amp;device=c&amp;mktype=pla&amp;googleloc=9010352&amp;poi=&amp;campaignid=21214315381&amp;mkgroupid=161363866036&amp;rlsatarget=pla-2299003535955&amp;abcId=9407526&amp;merchantid=114832125&amp;gad_source=1&amp;gad_campaignid=21214315381&amp;gbraid=0AAAAAD_QDh-WxDW3V6tycLWe8cGWhVCet&amp;gclid=CjwKCAjwl_XBBhAUEiwAWK2hzg3Q1Yr5Qywajf85ozukT0eBrnuBw2qcSHroRC1sgV2p7BH7wwA-ZRoCue8QAvD_BwE" TargetMode="External"/><Relationship Id="rId20" Type="http://schemas.openxmlformats.org/officeDocument/2006/relationships/hyperlink" Target="https://oshpark.com/" TargetMode="External"/><Relationship Id="rId29" Type="http://schemas.openxmlformats.org/officeDocument/2006/relationships/hyperlink" Target="https://www.dfrobot.com/product-689.html?gad_source=1&amp;gad_campaignid=22388643497&amp;gbraid=0AAAAADucPlAUqBsu3pP_X85ogWbbBBgBa&amp;gclid=Cj0KCQjwgvnCBhCqARIsADBLZoJ4ZCL5rKQ_98XjI9MZBlPRaBIgZRD5kPNfOK_USCuLZD6sqCQOP5UaArAjEALw_wcB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jst-sales-america-inc/B3B-XH-A/1651046" TargetMode="External"/><Relationship Id="rId6" Type="http://schemas.openxmlformats.org/officeDocument/2006/relationships/hyperlink" Target="https://www.digikey.com/en/products/detail/w%C3%BCrth-elektronik/151033RS03000/4490003" TargetMode="External"/><Relationship Id="rId11" Type="http://schemas.openxmlformats.org/officeDocument/2006/relationships/hyperlink" Target="https://www.digikey.com/en/products/detail/mpd-memory-protection-devices/BK-870/3829737" TargetMode="External"/><Relationship Id="rId24" Type="http://schemas.openxmlformats.org/officeDocument/2006/relationships/hyperlink" Target="https://www.ebay.com/itm/184508325888?chn=ps&amp;_trkparms=ispr%3D1&amp;amdata=enc%3A1ylpS771GTUqS6YST7-apLg15&amp;norover=1&amp;mkevt=1&amp;mkrid=711-117182-37290-0&amp;mkcid=2&amp;mkscid=101&amp;itemid=184508325888&amp;targetid=2321110924221&amp;device=c&amp;mktype=pla&amp;googleloc=9010433&amp;poi=&amp;campaignid=21400684010&amp;mkgroupid=173029508068&amp;rlsatarget=aud-1317046432738:pla-2321110924221&amp;abcId=9448486&amp;merchantid=118955226&amp;gad_source=1&amp;gad_campaignid=21400684010&amp;gbraid=0AAAAAD_QDh99tBHCSfvM5L2BJj0mpS-rS&amp;gclid=Cj0KCQjwmK_CBhCEARIsAMKwcD7LhNJPcz_yB99-iNQOigF1uTLSpT72VMRZDt4bpaZcj-4-2mtZYDUaAlYNEALw_wcB" TargetMode="External"/><Relationship Id="rId32" Type="http://schemas.openxmlformats.org/officeDocument/2006/relationships/hyperlink" Target="https://www.testequipmentdepot.com/ohaus-30064800-replacement-ph-sensor-protect-bottle-10-in-bag.html" TargetMode="External"/><Relationship Id="rId37" Type="http://schemas.openxmlformats.org/officeDocument/2006/relationships/hyperlink" Target="https://www.digikey.com/en/products/detail/atlas-scientific/CHEM-PH-S/16003006?gclsrc=aw.ds&amp;gad_source=1&amp;gad_campaignid=23033451739&amp;gbraid=0AAAAADrbLli2XEsCQZ2zgdqvDaP8ZT8-0&amp;gclid=CjwKCAjw3tzHBhBREiwAlMJoUtHQFEOHaOZNh9aVH6VR7LIrpjG4tOYAgYKosI_O4gav5yO-aztHlRoCq9sQAvD_BwE" TargetMode="External"/><Relationship Id="rId40" Type="http://schemas.openxmlformats.org/officeDocument/2006/relationships/hyperlink" Target="https://www.grainger.com/product/General-Purpose-Utility-Rope-20TL72" TargetMode="External"/><Relationship Id="rId5" Type="http://schemas.openxmlformats.org/officeDocument/2006/relationships/hyperlink" Target="https://www.digikey.com/en/products/detail/nextgen-components/1206B104K500BD/15776047?s=N4IgjCBcpgLFoDGUBmBDANgZwKYBoQB7KAbRACYBmADgHYaQBdAgBwBcoQBlNgJwEsAdgHMQAXwLkADLACcCEMkjps%2BIqRBSAdGAAEAVoBiTVh0ggAqoP5sA8igCyONFgCuvHOIIBaeNEWomLgExJBkAGyUAKxRTGISFBqIaCxoiDaEvHFAA" TargetMode="External"/><Relationship Id="rId15" Type="http://schemas.openxmlformats.org/officeDocument/2006/relationships/hyperlink" Target="https://www.digikey.com/en/products/detail/dfrobot/SEN0189/6588606?gad_source=1&amp;gad_campaignid=20243136172&amp;gbraid=0AAAAADrbLljucuLmqEe4bIBP9pEZ4VG5H&amp;gclid=Cj0KCQjwjJrCBhCXARIsAI5x66VOazEoiMlVT5LyfIrJo00cvNuFdGVQSUgYSB1oL8UVePiNsSg_drQaAosTEALw_wcB&amp;gclsrc=aw.ds" TargetMode="External"/><Relationship Id="rId23" Type="http://schemas.openxmlformats.org/officeDocument/2006/relationships/hyperlink" Target="https://www.keyestudio.com/products/keyestudio-tds-meter-v10-board-module-water-meter-filter-measuring-water-quality-for-arduino-unor3" TargetMode="External"/><Relationship Id="rId28" Type="http://schemas.openxmlformats.org/officeDocument/2006/relationships/hyperlink" Target="https://www.mouser.com/ProductDetail/Analog-Devices-Maxim-Integrated/DS3231M+TRL?qs=Bakm8ERcljq5PBzSwLfmgg%3D%3D&amp;utm_id=22337522785&amp;utm_source=google&amp;utm_medium=cpc&amp;utm_marketing_tactic=amercorp&amp;gad_source=1&amp;gad_campaignid=22327353774&amp;gbraid=0AAAAADn_wf3tXOv7c9Y4wq2-Yvx_HD5I2&amp;gclid=Cj0KCQjwgvnCBhCqARIsADBLZoJwmYFO86Wu0iC_hUhm8R9ynjb29I-YIssyZ4USDWwZGmZXPXlNSLQaAlaREALw_wcB" TargetMode="External"/><Relationship Id="rId36" Type="http://schemas.openxmlformats.org/officeDocument/2006/relationships/hyperlink" Target="https://www.harborfreight.com/18-in-x-50-ft-paracord-56740.html" TargetMode="External"/><Relationship Id="rId10" Type="http://schemas.openxmlformats.org/officeDocument/2006/relationships/hyperlink" Target="https://www.digikey.com/en/products/detail/analog-devices-inc-maxim-integrated/DS3231M-TRL/2402421" TargetMode="External"/><Relationship Id="rId19" Type="http://schemas.openxmlformats.org/officeDocument/2006/relationships/hyperlink" Target="https://www.digikey.com/en/products/detail/c-k/OS102011MS2QN1/411602" TargetMode="External"/><Relationship Id="rId31" Type="http://schemas.openxmlformats.org/officeDocument/2006/relationships/hyperlink" Target="https://us.ovonicshop.com/products/ovonic-50c-11-1v-3000mah-3s1p-deans-2pcs?_pos=7&amp;_sid=207a99678&amp;_ss=r" TargetMode="External"/><Relationship Id="rId4" Type="http://schemas.openxmlformats.org/officeDocument/2006/relationships/hyperlink" Target="https://www.digikey.com/en/products/detail/atlas-scientific/ENV-30-PH/16003028?gad_source=1&amp;gad_campaignid=20232005509&amp;gbraid=0AAAAADrbLliv6K8bW91YgzNqrt8ONo2QZ&amp;gclid=CjwKCAjwl_XBBhAUEiwAWK2hzpcO_PthZYBVBiTP7blHnIK4NnAfIL94wP-XbBh0unyx4OZTtFbw-hoC7p4QAvD_BwE&amp;gclsrc=aw.ds" TargetMode="External"/><Relationship Id="rId9" Type="http://schemas.openxmlformats.org/officeDocument/2006/relationships/hyperlink" Target="https://www.ebay.com/itm/283932038203?_skw=arduino+nano&amp;itmmeta=01JWS81PY2BK5W7AA2FK7T4DBS&amp;hash=item421bab143b:g:LEAAAOSwdsFg2bYB&amp;itmprp=enc%3AAQAKAAAA8FkggFvd1GGDu0w3yXCmi1ctIY2mddW3r0Pkz46AoULbxKR%2BLiu5WOk62feEjacXqpl7sNYJ6oE5%2FIn8lx78btygJOm2GvQyRb5jvCpCuuGSTVPm9c07lGI3HNmnry6uXc%2FlnST9gzmAQ3twOlrPRg6L2z%2FrDEBP6lCqIj7RU29pAxunTYC5VGu28NSWzm60eskDXI6rlTmkwJlAt4v66kpFByyhd4g%2F6NwsaYSfKxSXG6ADA884XQD96VOVCodbJCGKGFFk37cKyzrKEAETZC68GmzoBgXTDf9gi8GNs2wRWd%2FEf3cay51rfG1Vttxmiw%3D%3D%7Ctkp%3ABk9SR5jvhqjmZQ" TargetMode="External"/><Relationship Id="rId14" Type="http://schemas.openxmlformats.org/officeDocument/2006/relationships/hyperlink" Target="https://www.digikey.com/en/products/detail/jauch-quartz/CR1025/16399048" TargetMode="External"/><Relationship Id="rId22" Type="http://schemas.openxmlformats.org/officeDocument/2006/relationships/hyperlink" Target="https://atlas-scientific.com/probes/consumer-grade-ph-probe/?srsltid=AfmBOoog-hWZh-AcQq7td_rVXcdNzJnbRIhdNeb6Zga2Xtm4j7G4n8_-" TargetMode="External"/><Relationship Id="rId27" Type="http://schemas.openxmlformats.org/officeDocument/2006/relationships/hyperlink" Target="https://www.jameco.com/z/OS102011MS2QN1-C-K-Slide-Switch-SPDT-ON-ON-100mA-12VDC-Through-Hole-5-08mm-Pitch_2313927.html?srsltid=AfmBOooPbd-Z6ToSODltkR-iIt2ROKqtFbsAIQSOobzGyu7T6KQzSeXa." TargetMode="External"/><Relationship Id="rId30" Type="http://schemas.openxmlformats.org/officeDocument/2006/relationships/hyperlink" Target="https://rcbattery.com/deans-style-t-connector-plug-male-side-5pcs-bag.html?gad_source=1&amp;gad_campaignid=12748770885&amp;gbraid=0AAAAACRJLSYkFmISdyi2KqVyCMKzbiA4R&amp;gclid=Cj0KCQjwgvnCBhCqARIsADBLZoK-nNIxyPzzUeK3H1UV2WeP_C8kJJqf35ExhChwl4khohXJRrsdQw8aAgtvEALw_wcB" TargetMode="External"/><Relationship Id="rId35" Type="http://schemas.openxmlformats.org/officeDocument/2006/relationships/hyperlink" Target="https://www.mscdirect.com/product/details/17155631" TargetMode="External"/><Relationship Id="rId8" Type="http://schemas.openxmlformats.org/officeDocument/2006/relationships/hyperlink" Target="https://www.ebay.com/itm/203852249807?_skw=SD+card+module+mini&amp;itmmeta=01JWS7YRSNYRE9JPQ1403XF1SB&amp;hash=item2f768a7acf:g:8QAAAOSwqApl32li&amp;itmprp=enc%3AAQAKAAAA8FkggFvd1GGDu0w3yXCmi1ebfwHB6lyAy277lL4U8xOIhySGOtjI0bRPLZxMt0nwv62q7s0aZTz%2Bx%2F%2B7upL3MEA0K%2Ft0uJJWEl1PUNUul0C2kuW4nvX2%2BRwcD%2FhFGnTe%2FYG8zjgNvBu3TQY4IOsJphAfcfdUNAqbhaX7gXxY59Lj77JBWoN7w1LfwWyMjbSTm6GobMFWOs8mooWe2dthd87YxK7TTSBoyUD9D2pQE62PZubKATklktRZLCgMHdh0lcqvJRpnSkfD1qwChuyoZk51pvBJMF9jfr6RlQAGIR8TsCDyF0H7ZR59sGEcWXB%2FYA%3D%3D%7Ctkp%3ABFBMhI37p-Zl" TargetMode="External"/><Relationship Id="rId3" Type="http://schemas.openxmlformats.org/officeDocument/2006/relationships/hyperlink" Target="https://www.digikey.com/en/products/detail/atlas-scientific/SRV-PH/16003016?gad_source=1&amp;gad_campaignid=20243136172&amp;gbraid=0AAAAADrbLlgG2JWtg72d3seRm9FjQrAou&amp;gclid=CjwKCAjwl_XBBhAUEiwAWK2hznU8J98oZ-_7GD7xu8VgPNOpSYHGji59g_m7GB07rUIyNC8TPEMLYhoCYgIQAvD_BwE&amp;gclsrc=aw.ds" TargetMode="External"/><Relationship Id="rId12" Type="http://schemas.openxmlformats.org/officeDocument/2006/relationships/hyperlink" Target="https://www.digikey.com/en/products/detail/bourns-inc/CR1206-JW-471ELF/3741054" TargetMode="External"/><Relationship Id="rId17" Type="http://schemas.openxmlformats.org/officeDocument/2006/relationships/hyperlink" Target="https://www.ebay.com/itm/224193475936?_skw=ds18b20&amp;itmmeta=01JWS9436Y9FERAQTKDM3HA2HJ&amp;hash=item3432f8f560:g:o3YAAOSwU~BfhkxY&amp;itmprp=enc%3AAQAKAAAA4FkggFvd1GGDu0w3yXCmi1eZVpkWHqnJ1CXCxYwe7hH8MTDd21uDFcQkxB6UmuFL1nzEvMyPnwrLbfpibrtSw6PJ6oEOTjHA%2BkjlTR3A1QaHWZf0kE2w%2FhydudbtDkwEMazkGGG3RxFLdxOnAGzZBTlCUEFESqTvAhNn%2Bjye4iJMlnnPGLOgNL40CCfjp7qUswlfOwv0yjnO%2Ft2tQ0Gx2dXExLjwUsFFwJLjU6q8t9vdK3%2FxrsrClja0ZOKas2024SmxIkA1w06CzLtlKOw3UkAT%2B%2FRsayZchEvbfvz6zTfc%7Ctkp%3ABFBM0rOQqeZl" TargetMode="External"/><Relationship Id="rId25" Type="http://schemas.openxmlformats.org/officeDocument/2006/relationships/hyperlink" Target="https://www.motionrc.com/products/admiral-3300mah-3s-11-1v-30c-lipo-battery-with-t-connector-epr33003?variant=19047011142&amp;country=US&amp;currency=USD&amp;utm_medium=product_sync&amp;utm_source=google&amp;utm_content=sag_organic&amp;utm_campaign=sag_organic&amp;gad_source=1&amp;gad_campaignid=15448361688&amp;gbraid=0AAAAADrr98ZD1fBrj_NSKbi2hqFZgUrfk&amp;gclid=Cj0KCQjwgvnCBhCqARIsADBLZoIjaMcUy2YxUOv0QnymhbqBDrWMvbmN8Xkj10xanB3EhIRIsKdz-QAaAkkxEALw_wcB" TargetMode="External"/><Relationship Id="rId33" Type="http://schemas.openxmlformats.org/officeDocument/2006/relationships/hyperlink" Target="https://selectumllc.com/i/ohaus-30064800?s=ads&amp;gad_source=1&amp;gad_campaignid=23117909187&amp;gbraid=0AAAAApptgRbBnKHiWLgv_Xj-PtCTaUYZH&amp;gclid=CjwKCAjw3tzHBhBREiwAlMJoUtWRosas_68sTX7I6vxCYCXYfbPih4iKuoiMprlMt1mLn4OLAAYrwhoCVSAQAvD_BwE" TargetMode="External"/><Relationship Id="rId38" Type="http://schemas.openxmlformats.org/officeDocument/2006/relationships/hyperlink" Target="https://www.dscbalances.com/products/ph-sensor-protect-bottle-10-in-bag?srsltid=AfmBOopmccZQynijm5vo9RKbVMB_JPRNJqYQLrwHuYGu86piXkKum1hi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%C3%BCrth-elektronik/971080365/9488753" TargetMode="External"/><Relationship Id="rId13" Type="http://schemas.openxmlformats.org/officeDocument/2006/relationships/hyperlink" Target="https://www.grainger.com/product/Hex-Nut-M3-0-50-Thread-4AGJ9?opr=ODOH" TargetMode="External"/><Relationship Id="rId3" Type="http://schemas.openxmlformats.org/officeDocument/2006/relationships/hyperlink" Target="https://www.grainger.com/product/22FJ37?RIID=51819294775&amp;GID=729415832" TargetMode="External"/><Relationship Id="rId7" Type="http://schemas.openxmlformats.org/officeDocument/2006/relationships/hyperlink" Target="https://www.digikey.com/en/products/detail/w%C3%BCrth-elektronik/971060365/9488747" TargetMode="External"/><Relationship Id="rId12" Type="http://schemas.openxmlformats.org/officeDocument/2006/relationships/hyperlink" Target="https://www.ebay.com/itm/326491279997" TargetMode="External"/><Relationship Id="rId2" Type="http://schemas.openxmlformats.org/officeDocument/2006/relationships/hyperlink" Target="https://www.grainger.com/product/22FL17?RIID=51819294775&amp;GID=729415832" TargetMode="External"/><Relationship Id="rId1" Type="http://schemas.openxmlformats.org/officeDocument/2006/relationships/hyperlink" Target="https://www.grainger.com/product/25F529?gucid=N:N:PS:Paid:GGL:CSM-2295:7Q8R4W:20500801:APZ_1&amp;gad_source=1&amp;gad_campaignid=21369464154&amp;gclid=CjwKCAjwr5_CBhBlEiwAzfwYuFQJQF4xih2fA0vbI8pFLV_pGSsb1GvVdYQqLORI5ApakqFVLNHuxxoCPr8QAvD_BwE&amp;gclsrc=aw.ds" TargetMode="External"/><Relationship Id="rId6" Type="http://schemas.openxmlformats.org/officeDocument/2006/relationships/hyperlink" Target="https://www.homedepot.com/pep/Charlotte-Pipe-2-in-PVC-Socket-Schedule-40-Pressure-Cap-PVC021161600HD/203811678?source=shoppingads&amp;locale=en-US&amp;pla&amp;mtc=SHOPPING-BF-CDP-GGL-D26P-026_001_PIPE_FITTING-NA-NA-NA-PLALIA-NA-NA-NA-NA-NBR-NA-NA-NEW-_PLATEST&amp;cm_mmc=SHOPPING-BF-CDP-GGL-D26P-026_001_PIPE_FITTING-NA-NA-NA-PLALIA-NA-NA-NA-NA-NBR-NA-NA-NEW-_PLATEST-22111492781-173962209835-331272778036&amp;gad_source=1&amp;gad_campaignid=22111492781&amp;gbraid=0AAAAADq61UeV86D9Cm_YSFHZ_xQoepPWR&amp;gclid=Cj0KCQjwmK_CBhCEARIsAMKwcD7hsSItt8-j7uHZGoH9ZOHc9dwlTetTnvM1YPIH3krowDG1cA4a5pgaAihuEALw_wcB&amp;gclsrc=aw.ds" TargetMode="External"/><Relationship Id="rId11" Type="http://schemas.openxmlformats.org/officeDocument/2006/relationships/hyperlink" Target="https://www.ebay.com/itm/295005028017" TargetMode="External"/><Relationship Id="rId5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10" Type="http://schemas.openxmlformats.org/officeDocument/2006/relationships/hyperlink" Target="https://www.grainger.com/product/PC-PRODUCTS-Epoxy-Adhesive-PC-11-4AUV9?opr=ODOH&amp;analytics=FM:Order%20History" TargetMode="External"/><Relationship Id="rId4" Type="http://schemas.openxmlformats.org/officeDocument/2006/relationships/hyperlink" Target="https://www.homedepot.com/pep/Apollo-2-in-x-2-in-PVC-Slip-Joint-x-Slip-Joint-Union-PVCU2/317901067?source=shoppingads&amp;locale=en-US&amp;pla&amp;utm_source=google&amp;utm_medium=vantage&amp;utm_campaign=52958&amp;utm_content=55246&amp;mtc=SHOPPING-RM-RMP-GGL-D26P-Multi-NA-APOLLO-NA-PMAX-NA-NA-MK897429001-52958-NBR-876-NA-VNT-FY25_Q1_Q4_THEMOSACKGROUPLLC_D26P_RM_ES_AON&amp;cm_mmc=SHOPPING-RM-RMP-GGL-D26P-Multi-NA-APOLLO-NA-PMAX-NA-NA-MK897429001-52958-NBR-876-NA-VNT-FY25_Q1_Q4_THEMOSACKGROUPLLC_D26P_RM_ES_AON-22224745817--&amp;gad_source=1&amp;gad_campaignid=22228588078&amp;gbraid=0AAAAAolLu989NOds_i5DS89vyDbOz8lsX&amp;gclid=Cj0KCQjwmK_CBhCEARIsAMKwcD4wwYuEy7LBT_5YeRGvsomWTxN9uYDhqX3X0H-OD7fiaDyYfmt8F6IaAkX6EALw_wcB&amp;gclsrc=aw.ds" TargetMode="External"/><Relationship Id="rId9" Type="http://schemas.openxmlformats.org/officeDocument/2006/relationships/hyperlink" Target="https://www.digikey.com/en/products/detail/keystone-electronics/4688/4499297?gad_source=1&amp;gad_campaignid=20228387720&amp;gbraid=0AAAAADrbLli1VgbFKUuvpIzwSoUwJlAei&amp;gclid=CjwKCAjwg7PDBhBxEiwAf1CVu7QKEee0JU-K02l5MqVnceC0gdderHe-hLzMdyz4TeR0D3XMq-DznhoC-KUQAvD_BwE&amp;gclsrc=aw.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72E9-9057-43B3-9849-7848ED564DB8}">
  <dimension ref="A1:H30"/>
  <sheetViews>
    <sheetView tabSelected="1" workbookViewId="0">
      <selection activeCell="F30" sqref="F30"/>
    </sheetView>
  </sheetViews>
  <sheetFormatPr defaultRowHeight="14.5" x14ac:dyDescent="0.35"/>
  <cols>
    <col min="1" max="1" width="16.1796875" customWidth="1"/>
    <col min="2" max="2" width="61.81640625" style="2" customWidth="1"/>
    <col min="3" max="3" width="7.81640625" style="1" customWidth="1"/>
    <col min="4" max="4" width="15.1796875" customWidth="1"/>
    <col min="5" max="5" width="15.81640625" customWidth="1"/>
    <col min="6" max="6" width="86" customWidth="1"/>
    <col min="7" max="8" width="46.5429687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ht="15" customHeight="1" x14ac:dyDescent="0.35">
      <c r="A2" s="8" t="s">
        <v>8</v>
      </c>
      <c r="B2" s="6" t="s">
        <v>9</v>
      </c>
      <c r="C2" s="8">
        <v>1</v>
      </c>
      <c r="D2" s="8">
        <v>0.11</v>
      </c>
      <c r="E2" s="8">
        <f t="shared" ref="E2:E23" si="0">D2*C2</f>
        <v>0.11</v>
      </c>
      <c r="F2" s="25" t="s">
        <v>10</v>
      </c>
      <c r="G2" s="25"/>
      <c r="H2" s="25"/>
    </row>
    <row r="3" spans="1:8" ht="15" customHeight="1" x14ac:dyDescent="0.35">
      <c r="A3" s="8" t="s">
        <v>11</v>
      </c>
      <c r="B3" s="7" t="s">
        <v>12</v>
      </c>
      <c r="C3" s="8">
        <v>1</v>
      </c>
      <c r="D3" s="8">
        <v>0.71</v>
      </c>
      <c r="E3" s="8">
        <f t="shared" si="0"/>
        <v>0.71</v>
      </c>
      <c r="F3" s="25" t="s">
        <v>13</v>
      </c>
      <c r="G3" s="25" t="s">
        <v>14</v>
      </c>
      <c r="H3" s="25" t="s">
        <v>15</v>
      </c>
    </row>
    <row r="4" spans="1:8" ht="15" customHeight="1" x14ac:dyDescent="0.35">
      <c r="A4" s="8" t="s">
        <v>16</v>
      </c>
      <c r="B4" s="9" t="s">
        <v>17</v>
      </c>
      <c r="C4" s="8">
        <v>1</v>
      </c>
      <c r="D4" s="8">
        <v>0.16</v>
      </c>
      <c r="E4" s="8">
        <f t="shared" si="0"/>
        <v>0.16</v>
      </c>
      <c r="F4" s="25" t="s">
        <v>18</v>
      </c>
      <c r="G4" s="25"/>
      <c r="H4" s="25"/>
    </row>
    <row r="5" spans="1:8" ht="15" customHeight="1" x14ac:dyDescent="0.35">
      <c r="A5" s="8" t="s">
        <v>19</v>
      </c>
      <c r="B5" s="7" t="s">
        <v>20</v>
      </c>
      <c r="C5" s="8">
        <v>1</v>
      </c>
      <c r="D5" s="8">
        <v>1.69</v>
      </c>
      <c r="E5" s="8">
        <f t="shared" si="0"/>
        <v>1.69</v>
      </c>
      <c r="F5" s="25" t="s">
        <v>21</v>
      </c>
      <c r="G5" s="25"/>
      <c r="H5" s="25"/>
    </row>
    <row r="6" spans="1:8" ht="15" customHeight="1" x14ac:dyDescent="0.35">
      <c r="A6" s="8" t="s">
        <v>22</v>
      </c>
      <c r="B6" s="7" t="s">
        <v>23</v>
      </c>
      <c r="C6" s="8">
        <v>1</v>
      </c>
      <c r="D6" s="8">
        <v>3.67</v>
      </c>
      <c r="E6" s="8">
        <f t="shared" si="0"/>
        <v>3.67</v>
      </c>
      <c r="F6" s="25" t="s">
        <v>24</v>
      </c>
      <c r="G6" s="25"/>
      <c r="H6" s="25"/>
    </row>
    <row r="7" spans="1:8" ht="15" customHeight="1" x14ac:dyDescent="0.35">
      <c r="A7" s="8" t="s">
        <v>25</v>
      </c>
      <c r="B7" s="6" t="s">
        <v>26</v>
      </c>
      <c r="C7" s="8">
        <v>1</v>
      </c>
      <c r="D7" s="8">
        <v>10.98</v>
      </c>
      <c r="E7" s="8">
        <f t="shared" si="0"/>
        <v>10.98</v>
      </c>
      <c r="F7" s="25" t="s">
        <v>27</v>
      </c>
      <c r="G7" s="25" t="s">
        <v>28</v>
      </c>
      <c r="H7" s="25"/>
    </row>
    <row r="8" spans="1:8" ht="15" customHeight="1" x14ac:dyDescent="0.35">
      <c r="A8" s="8" t="s">
        <v>29</v>
      </c>
      <c r="B8" s="7" t="s">
        <v>30</v>
      </c>
      <c r="C8" s="8">
        <v>1</v>
      </c>
      <c r="D8" s="8">
        <v>0.57999999999999996</v>
      </c>
      <c r="E8" s="8">
        <f t="shared" si="0"/>
        <v>0.57999999999999996</v>
      </c>
      <c r="F8" s="25" t="s">
        <v>31</v>
      </c>
      <c r="G8" s="25"/>
      <c r="H8" s="25"/>
    </row>
    <row r="9" spans="1:8" ht="15" customHeight="1" x14ac:dyDescent="0.35">
      <c r="A9" s="8" t="s">
        <v>32</v>
      </c>
      <c r="B9" s="7" t="s">
        <v>33</v>
      </c>
      <c r="C9" s="8">
        <v>1</v>
      </c>
      <c r="D9" s="8">
        <v>0.13</v>
      </c>
      <c r="E9" s="8">
        <f t="shared" si="0"/>
        <v>0.13</v>
      </c>
      <c r="F9" s="25" t="s">
        <v>34</v>
      </c>
      <c r="G9" s="25"/>
      <c r="H9" s="25"/>
    </row>
    <row r="10" spans="1:8" ht="15" customHeight="1" x14ac:dyDescent="0.35">
      <c r="A10" s="8" t="s">
        <v>35</v>
      </c>
      <c r="B10" s="7" t="s">
        <v>36</v>
      </c>
      <c r="C10" s="8">
        <v>1</v>
      </c>
      <c r="D10" s="8">
        <v>0.1</v>
      </c>
      <c r="E10" s="8">
        <f t="shared" si="0"/>
        <v>0.1</v>
      </c>
      <c r="F10" s="25" t="s">
        <v>37</v>
      </c>
      <c r="G10" s="25"/>
      <c r="H10" s="25"/>
    </row>
    <row r="11" spans="1:8" ht="15" customHeight="1" x14ac:dyDescent="0.35">
      <c r="A11" s="8" t="s">
        <v>38</v>
      </c>
      <c r="B11" s="7" t="s">
        <v>36</v>
      </c>
      <c r="C11" s="8">
        <v>1</v>
      </c>
      <c r="D11" s="8">
        <v>0.1</v>
      </c>
      <c r="E11" s="8">
        <f t="shared" si="0"/>
        <v>0.1</v>
      </c>
      <c r="F11" s="25" t="s">
        <v>39</v>
      </c>
      <c r="G11" s="25"/>
      <c r="H11" s="25"/>
    </row>
    <row r="12" spans="1:8" ht="15" customHeight="1" x14ac:dyDescent="0.35">
      <c r="A12" s="8" t="s">
        <v>40</v>
      </c>
      <c r="B12" s="6" t="s">
        <v>41</v>
      </c>
      <c r="C12" s="8">
        <v>1</v>
      </c>
      <c r="D12" s="8">
        <v>1.0900000000000001</v>
      </c>
      <c r="E12" s="8">
        <f t="shared" si="0"/>
        <v>1.0900000000000001</v>
      </c>
      <c r="F12" s="25" t="s">
        <v>42</v>
      </c>
      <c r="G12" s="25"/>
      <c r="H12" s="25"/>
    </row>
    <row r="13" spans="1:8" ht="15" customHeight="1" x14ac:dyDescent="0.35">
      <c r="A13" s="8" t="s">
        <v>40</v>
      </c>
      <c r="B13" s="7" t="s">
        <v>98</v>
      </c>
      <c r="C13" s="8">
        <v>1</v>
      </c>
      <c r="D13" s="8">
        <v>46.72</v>
      </c>
      <c r="E13" s="8">
        <f t="shared" si="0"/>
        <v>46.72</v>
      </c>
      <c r="F13" s="25" t="s">
        <v>97</v>
      </c>
      <c r="G13" s="25" t="s">
        <v>43</v>
      </c>
      <c r="H13" s="25" t="s">
        <v>44</v>
      </c>
    </row>
    <row r="14" spans="1:8" ht="15" customHeight="1" x14ac:dyDescent="0.35">
      <c r="A14" s="8" t="s">
        <v>40</v>
      </c>
      <c r="B14" s="7" t="s">
        <v>45</v>
      </c>
      <c r="C14" s="8">
        <v>1</v>
      </c>
      <c r="D14" s="8">
        <v>26.11</v>
      </c>
      <c r="E14" s="8">
        <f t="shared" si="0"/>
        <v>26.11</v>
      </c>
      <c r="F14" s="25" t="s">
        <v>46</v>
      </c>
      <c r="G14" s="25"/>
      <c r="H14" s="25"/>
    </row>
    <row r="15" spans="1:8" ht="15" customHeight="1" x14ac:dyDescent="0.35">
      <c r="A15" s="8" t="s">
        <v>40</v>
      </c>
      <c r="B15" s="7" t="s">
        <v>47</v>
      </c>
      <c r="C15" s="8">
        <v>1</v>
      </c>
      <c r="D15" s="8">
        <v>9.9</v>
      </c>
      <c r="E15" s="8">
        <f t="shared" si="0"/>
        <v>9.9</v>
      </c>
      <c r="F15" s="25" t="s">
        <v>48</v>
      </c>
      <c r="G15" s="25" t="s">
        <v>49</v>
      </c>
      <c r="H15" s="25"/>
    </row>
    <row r="16" spans="1:8" ht="15" customHeight="1" x14ac:dyDescent="0.35">
      <c r="A16" s="8" t="s">
        <v>40</v>
      </c>
      <c r="B16" s="7" t="s">
        <v>50</v>
      </c>
      <c r="C16" s="8">
        <v>1</v>
      </c>
      <c r="D16" s="8">
        <v>49.99</v>
      </c>
      <c r="E16" s="8">
        <f t="shared" si="0"/>
        <v>49.99</v>
      </c>
      <c r="F16" s="25" t="s">
        <v>51</v>
      </c>
      <c r="G16" s="25" t="s">
        <v>52</v>
      </c>
      <c r="H16" s="25"/>
    </row>
    <row r="17" spans="1:8" ht="15" customHeight="1" x14ac:dyDescent="0.35">
      <c r="A17" s="8" t="s">
        <v>40</v>
      </c>
      <c r="B17" s="7" t="s">
        <v>53</v>
      </c>
      <c r="C17" s="8">
        <v>1</v>
      </c>
      <c r="D17" s="8">
        <v>19.95</v>
      </c>
      <c r="E17" s="8">
        <f t="shared" si="0"/>
        <v>19.95</v>
      </c>
      <c r="F17" s="25" t="s">
        <v>54</v>
      </c>
      <c r="G17" s="25" t="s">
        <v>55</v>
      </c>
      <c r="H17" s="25"/>
    </row>
    <row r="18" spans="1:8" ht="15" customHeight="1" x14ac:dyDescent="0.35">
      <c r="A18" s="8" t="s">
        <v>40</v>
      </c>
      <c r="B18" s="7" t="s">
        <v>56</v>
      </c>
      <c r="C18" s="8">
        <v>1</v>
      </c>
      <c r="D18" s="8">
        <v>2.5499999999999998</v>
      </c>
      <c r="E18" s="8">
        <f t="shared" si="0"/>
        <v>2.5499999999999998</v>
      </c>
      <c r="F18" s="25" t="s">
        <v>57</v>
      </c>
      <c r="G18" s="25" t="s">
        <v>58</v>
      </c>
      <c r="H18" s="25"/>
    </row>
    <row r="19" spans="1:8" ht="15" customHeight="1" x14ac:dyDescent="0.35">
      <c r="A19" s="8" t="s">
        <v>40</v>
      </c>
      <c r="B19" s="7" t="s">
        <v>59</v>
      </c>
      <c r="C19" s="8">
        <v>1</v>
      </c>
      <c r="D19" s="8">
        <v>1.25</v>
      </c>
      <c r="E19" s="8">
        <f t="shared" si="0"/>
        <v>1.25</v>
      </c>
      <c r="F19" s="25" t="s">
        <v>60</v>
      </c>
      <c r="G19" s="25" t="s">
        <v>61</v>
      </c>
      <c r="H19" s="25"/>
    </row>
    <row r="20" spans="1:8" ht="15" customHeight="1" x14ac:dyDescent="0.35">
      <c r="A20" s="8" t="s">
        <v>40</v>
      </c>
      <c r="B20" s="7" t="s">
        <v>62</v>
      </c>
      <c r="C20" s="8">
        <v>2</v>
      </c>
      <c r="D20" s="8">
        <v>2.2000000000000002</v>
      </c>
      <c r="E20" s="8">
        <f t="shared" si="0"/>
        <v>4.4000000000000004</v>
      </c>
      <c r="F20" s="25" t="s">
        <v>63</v>
      </c>
      <c r="G20" s="26"/>
    </row>
    <row r="21" spans="1:8" ht="15" customHeight="1" x14ac:dyDescent="0.35">
      <c r="A21" s="8" t="s">
        <v>40</v>
      </c>
      <c r="B21" s="7" t="s">
        <v>111</v>
      </c>
      <c r="C21" s="8">
        <v>1</v>
      </c>
      <c r="D21" s="8">
        <v>8</v>
      </c>
      <c r="E21" s="8">
        <f t="shared" si="0"/>
        <v>8</v>
      </c>
      <c r="F21" s="25" t="s">
        <v>64</v>
      </c>
      <c r="G21" s="26"/>
      <c r="H21" s="26"/>
    </row>
    <row r="22" spans="1:8" ht="15" customHeight="1" x14ac:dyDescent="0.35">
      <c r="A22" s="8" t="s">
        <v>40</v>
      </c>
      <c r="B22" s="7" t="s">
        <v>99</v>
      </c>
      <c r="C22" s="8">
        <v>1</v>
      </c>
      <c r="D22" s="8">
        <v>9.4700000000000006</v>
      </c>
      <c r="E22" s="8">
        <f>D22*C22</f>
        <v>9.4700000000000006</v>
      </c>
      <c r="F22" s="27" t="s">
        <v>110</v>
      </c>
      <c r="G22" s="25" t="s">
        <v>108</v>
      </c>
      <c r="H22" s="25" t="s">
        <v>109</v>
      </c>
    </row>
    <row r="23" spans="1:8" ht="15" customHeight="1" x14ac:dyDescent="0.35">
      <c r="A23" s="8" t="s">
        <v>40</v>
      </c>
      <c r="B23" s="7" t="s">
        <v>100</v>
      </c>
      <c r="C23" s="8">
        <v>1</v>
      </c>
      <c r="D23" s="8">
        <v>5.8</v>
      </c>
      <c r="E23" s="8">
        <f t="shared" si="0"/>
        <v>5.8</v>
      </c>
      <c r="F23" s="25" t="s">
        <v>103</v>
      </c>
      <c r="G23" s="25" t="s">
        <v>104</v>
      </c>
      <c r="H23" s="25" t="s">
        <v>106</v>
      </c>
    </row>
    <row r="24" spans="1:8" ht="15" customHeight="1" x14ac:dyDescent="0.35">
      <c r="A24" s="8" t="s">
        <v>40</v>
      </c>
      <c r="B24" s="7" t="s">
        <v>101</v>
      </c>
      <c r="C24" s="8">
        <v>1</v>
      </c>
      <c r="D24" s="8">
        <v>38</v>
      </c>
      <c r="E24" s="8">
        <f>D24*C24</f>
        <v>38</v>
      </c>
      <c r="F24" s="27" t="s">
        <v>107</v>
      </c>
      <c r="G24" s="25" t="s">
        <v>105</v>
      </c>
      <c r="H24" s="25" t="s">
        <v>102</v>
      </c>
    </row>
    <row r="25" spans="1:8" ht="15" customHeight="1" x14ac:dyDescent="0.35">
      <c r="A25" s="10"/>
      <c r="C25" s="9"/>
      <c r="D25" s="11" t="s">
        <v>65</v>
      </c>
      <c r="E25" s="12">
        <f>SUM(E3:E24)</f>
        <v>241.35000000000002</v>
      </c>
      <c r="F25" s="13"/>
      <c r="G25" s="10"/>
      <c r="H25" s="10"/>
    </row>
    <row r="30" spans="1:8" x14ac:dyDescent="0.35">
      <c r="F30" s="24"/>
    </row>
  </sheetData>
  <hyperlinks>
    <hyperlink ref="B9" r:id="rId1" xr:uid="{C9348698-6656-4DBD-9FB5-124B14245292}"/>
    <hyperlink ref="F9" r:id="rId2" xr:uid="{A1A31AC6-EE25-4379-B339-E3552E7B011B}"/>
    <hyperlink ref="F14" r:id="rId3" display="https://www.digikey.com/en/products/detail/atlas-scientific/SRV-PH/16003016?gad_source=1&amp;gad_campaignid=20243136172&amp;gbraid=0AAAAADrbLlgG2JWtg72d3seRm9FjQrAou&amp;gclid=CjwKCAjwl_XBBhAUEiwAWK2hznU8J98oZ-_7GD7xu8VgPNOpSYHGji59g_m7GB07rUIyNC8TPEMLYhoCYgIQAvD_BwE&amp;gclsrc=aw.ds" xr:uid="{11F03989-490C-4398-BB9F-2A989DEB8234}"/>
    <hyperlink ref="F16" r:id="rId4" display="https://www.digikey.com/en/products/detail/atlas-scientific/ENV-30-PH/16003028?gad_source=1&amp;gad_campaignid=20232005509&amp;gbraid=0AAAAADrbLliv6K8bW91YgzNqrt8ONo2QZ&amp;gclid=CjwKCAjwl_XBBhAUEiwAWK2hzpcO_PthZYBVBiTP7blHnIK4NnAfIL94wP-XbBh0unyx4OZTtFbw-hoC7p4QAvD_BwE&amp;gclsrc=aw.ds" xr:uid="{AA9B9DC4-3CA2-49A4-A847-004D51539E98}"/>
    <hyperlink ref="F2" r:id="rId5" display="https://www.digikey.com/en/products/detail/nextgen-components/1206B104K500BD/15776047?s=N4IgjCBcpgLFoDGUBmBDANgZwKYBoQB7KAbRACYBmADgHYaQBdAgBwBcoQBlNgJwEsAdgHMQAXwLkADLACcCEMkjps%2BIqRBSAdGAAEAVoBiTVh0ggAqoP5sA8igCyONFgCuvHOIIBaeNEWomLgExJBkAGyUAKxRTGISFBqIaCxoiDaEvHFAA" xr:uid="{63909A61-0BA6-466F-81DB-4F89222E167C}"/>
    <hyperlink ref="F4" r:id="rId6" xr:uid="{71FA8722-D45F-4477-A90D-EF41582630AA}"/>
    <hyperlink ref="F19" r:id="rId7" display="https://www.digikey.com/en/products/detail/sparkfun-electronics/11864/6818769?gad_source=1&amp;gad_campaignid=20470400566&amp;gbraid=0AAAAADrbLliIHIRZTdCUnz0dgTjq27lO9&amp;gclid=CjwKCAjwl_XBBhAUEiwAWK2hzmI8CZGH_aIaTxCITd4vJTEk9RuU9JLQrgEuPZd__e3-SqyQUR2pSRoCVAQQAvD_BwE&amp;gclsrc=aw.ds" xr:uid="{E0215540-FA10-460F-BE56-F4D86C86018F}"/>
    <hyperlink ref="F5" r:id="rId8" display="https://www.ebay.com/itm/203852249807?_skw=SD+card+module+mini&amp;itmmeta=01JWS7YRSNYRE9JPQ1403XF1SB&amp;hash=item2f768a7acf:g:8QAAAOSwqApl32li&amp;itmprp=enc%3AAQAKAAAA8FkggFvd1GGDu0w3yXCmi1ebfwHB6lyAy277lL4U8xOIhySGOtjI0bRPLZxMt0nwv62q7s0aZTz%2Bx%2F%2B7upL3MEA0K%2Ft0uJJWEl1PUNUul0C2kuW4nvX2%2BRwcD%2FhFGnTe%2FYG8zjgNvBu3TQY4IOsJphAfcfdUNAqbhaX7gXxY59Lj77JBWoN7w1LfwWyMjbSTm6GobMFWOs8mooWe2dthd87YxK7TTSBoyUD9D2pQE62PZubKATklktRZLCgMHdh0lcqvJRpnSkfD1qwChuyoZk51pvBJMF9jfr6RlQAGIR8TsCDyF0H7ZR59sGEcWXB%2FYA%3D%3D%7Ctkp%3ABFBMhI37p-Zl" xr:uid="{A0E7E086-416B-4541-8AEB-A73F0FD632CC}"/>
    <hyperlink ref="F6" r:id="rId9" display="https://www.ebay.com/itm/283932038203?_skw=arduino+nano&amp;itmmeta=01JWS81PY2BK5W7AA2FK7T4DBS&amp;hash=item421bab143b:g:LEAAAOSwdsFg2bYB&amp;itmprp=enc%3AAQAKAAAA8FkggFvd1GGDu0w3yXCmi1ctIY2mddW3r0Pkz46AoULbxKR%2BLiu5WOk62feEjacXqpl7sNYJ6oE5%2FIn8lx78btygJOm2GvQyRb5jvCpCuuGSTVPm9c07lGI3HNmnry6uXc%2FlnST9gzmAQ3twOlrPRg6L2z%2FrDEBP6lCqIj7RU29pAxunTYC5VGu28NSWzm60eskDXI6rlTmkwJlAt4v66kpFByyhd4g%2F6NwsaYSfKxSXG6ADA884XQD96VOVCodbJCGKGFFk37cKyzrKEAETZC68GmzoBgXTDf9gi8GNs2wRWd%2FEf3cay51rfG1Vttxmiw%3D%3D%7Ctkp%3ABk9SR5jvhqjmZQ" xr:uid="{D40A1581-C8E1-4256-9679-6A59FE658D51}"/>
    <hyperlink ref="F7" r:id="rId10" xr:uid="{5EDA0D6B-EBBF-4987-9705-6AF34F8D9DC2}"/>
    <hyperlink ref="F8" r:id="rId11" xr:uid="{B0746F85-A149-4A7D-ABED-F03950E2EB90}"/>
    <hyperlink ref="F10" r:id="rId12" xr:uid="{F2BF06F7-4140-4119-A997-5B1FDE3F6167}"/>
    <hyperlink ref="F11" r:id="rId13" xr:uid="{59175B53-746F-4851-8348-D5E2AAFC9CDE}"/>
    <hyperlink ref="F12" r:id="rId14" xr:uid="{A3103951-4374-4AEA-A246-0765F163BC08}"/>
    <hyperlink ref="F15" r:id="rId15" display="https://www.digikey.com/en/products/detail/dfrobot/SEN0189/6588606?gad_source=1&amp;gad_campaignid=20243136172&amp;gbraid=0AAAAADrbLljucuLmqEe4bIBP9pEZ4VG5H&amp;gclid=Cj0KCQjwjJrCBhCXARIsAI5x66VOazEoiMlVT5LyfIrJo00cvNuFdGVQSUgYSB1oL8UVePiNsSg_drQaAosTEALw_wcB&amp;gclsrc=aw.ds" xr:uid="{7CE97621-A95F-46F6-B837-D6B76DA1F130}"/>
    <hyperlink ref="F17" r:id="rId16" display="https://www.ebay.com/itm/184291373846?chn=ps&amp;norover=1&amp;mkevt=1&amp;mkrid=711-117182-37290-0&amp;mkcid=2&amp;mkscid=101&amp;itemid=184291373846&amp;targetid=2299003535955&amp;device=c&amp;mktype=pla&amp;googleloc=9010352&amp;poi=&amp;campaignid=21214315381&amp;mkgroupid=161363866036&amp;rlsatarget=pla-2299003535955&amp;abcId=9407526&amp;merchantid=114832125&amp;gad_source=1&amp;gad_campaignid=21214315381&amp;gbraid=0AAAAAD_QDh-WxDW3V6tycLWe8cGWhVCet&amp;gclid=CjwKCAjwl_XBBhAUEiwAWK2hzg3Q1Yr5Qywajf85ozukT0eBrnuBw2qcSHroRC1sgV2p7BH7wwA-ZRoCue8QAvD_BwE" xr:uid="{41C42423-EC91-4743-A252-33230DF3278E}"/>
    <hyperlink ref="F18" r:id="rId17" display="https://www.ebay.com/itm/224193475936?_skw=ds18b20&amp;itmmeta=01JWS9436Y9FERAQTKDM3HA2HJ&amp;hash=item3432f8f560:g:o3YAAOSwU~BfhkxY&amp;itmprp=enc%3AAQAKAAAA4FkggFvd1GGDu0w3yXCmi1eZVpkWHqnJ1CXCxYwe7hH8MTDd21uDFcQkxB6UmuFL1nzEvMyPnwrLbfpibrtSw6PJ6oEOTjHA%2BkjlTR3A1QaHWZf0kE2w%2FhydudbtDkwEMazkGGG3RxFLdxOnAGzZBTlCUEFESqTvAhNn%2Bjye4iJMlnnPGLOgNL40CCfjp7qUswlfOwv0yjnO%2Ft2tQ0Gx2dXExLjwUsFFwJLjU6q8t9vdK3%2FxrsrClja0ZOKas2024SmxIkA1w06CzLtlKOw3UkAT%2B%2FRsayZchEvbfvz6zTfc%7Ctkp%3ABFBM0rOQqeZl" xr:uid="{6CE59FE4-3B5B-463E-8BFA-AE84C9657E1C}"/>
    <hyperlink ref="F20" r:id="rId18" display="https://www.digikey.com/en/products/detail/samtec-inc/SSW-115-01-F-S/7879494?gad_source=1&amp;gad_campaignid=17336967819&amp;gbraid=0AAAAADrbLlhPPMEXoJVxfpFdpEMhcu0YV&amp;gclid=Cj0KCQjwjJrCBhCXARIsAI5x66X6luvpzic7SpeQdTZEq5PP26iV0Bmu3w1zSQ-hOKFa4-GjmDPOJZMaAjkJEALw_wcB&amp;gclsrc=aw.ds" xr:uid="{9B3BC39D-EF5B-4388-80DC-969E3750D113}"/>
    <hyperlink ref="F3" r:id="rId19" xr:uid="{9557BBDE-7B36-4980-B2CF-6CC83594058E}"/>
    <hyperlink ref="F21" r:id="rId20" xr:uid="{5DC5AA7A-D293-4D8B-BD8A-6D666E0FFFDC}"/>
    <hyperlink ref="G15" r:id="rId21" xr:uid="{6C5CD10F-CC8B-41D0-AFD8-4F3D53674579}"/>
    <hyperlink ref="G16" r:id="rId22" xr:uid="{7CCAC606-6D69-4384-A632-81B17260CDA3}"/>
    <hyperlink ref="G17" r:id="rId23" xr:uid="{4C6031E9-5DB5-420D-A786-DB2505BC5E3F}"/>
    <hyperlink ref="G13" r:id="rId24" display="https://www.ebay.com/itm/184508325888?chn=ps&amp;_trkparms=ispr%3D1&amp;amdata=enc%3A1ylpS771GTUqS6YST7-apLg15&amp;norover=1&amp;mkevt=1&amp;mkrid=711-117182-37290-0&amp;mkcid=2&amp;mkscid=101&amp;itemid=184508325888&amp;targetid=2321110924221&amp;device=c&amp;mktype=pla&amp;googleloc=9010433&amp;poi=&amp;campaignid=21400684010&amp;mkgroupid=173029508068&amp;rlsatarget=aud-1317046432738:pla-2321110924221&amp;abcId=9448486&amp;merchantid=118955226&amp;gad_source=1&amp;gad_campaignid=21400684010&amp;gbraid=0AAAAAD_QDh99tBHCSfvM5L2BJj0mpS-rS&amp;gclid=Cj0KCQjwmK_CBhCEARIsAMKwcD7LhNJPcz_yB99-iNQOigF1uTLSpT72VMRZDt4bpaZcj-4-2mtZYDUaAlYNEALw_wcB" xr:uid="{3CB92383-C82A-4483-8BB2-4316CC09D92E}"/>
    <hyperlink ref="H13" r:id="rId25" display="https://www.motionrc.com/products/admiral-3300mah-3s-11-1v-30c-lipo-battery-with-t-connector-epr33003?variant=19047011142&amp;country=US&amp;currency=USD&amp;utm_medium=product_sync&amp;utm_source=google&amp;utm_content=sag_organic&amp;utm_campaign=sag_organic&amp;gad_source=1&amp;gad_campaignid=15448361688&amp;gbraid=0AAAAADrr98ZD1fBrj_NSKbi2hqFZgUrfk&amp;gclid=Cj0KCQjwgvnCBhCqARIsADBLZoIjaMcUy2YxUOv0QnymhbqBDrWMvbmN8Xkj10xanB3EhIRIsKdz-QAaAkkxEALw_wcB" xr:uid="{33A0557F-BAF8-45FF-A06A-9B35F82DC323}"/>
    <hyperlink ref="G3" r:id="rId26" display="https://www.mouser.com/ProductDetail/CK/OS102011MS2QN1?qs=WtljUlYws5RvQ1hEv876nQ%3D%3D&amp;mgh=1&amp;utm_id=22174357374&amp;utm_source=google&amp;utm_medium=cpc&amp;utm_marketing_tactic=amercorp&amp;gad_source=1&amp;gad_campaignid=22295195434&amp;gbraid=0AAAAADn_wf37NcPripZZCoy9AiD-OvAcG&amp;gclid=Cj0KCQjwgvnCBhCqARIsADBLZoKyGA5ClHUZR7eCJ8ET8sUhF8oXtsBAC19VweIc1X0k5wSmKxZJZCcaAhNFEALw_wcB " xr:uid="{925E73F0-7493-4F10-B879-D8FE7A9712D3}"/>
    <hyperlink ref="H3" r:id="rId27" xr:uid="{9966B871-4776-420A-8EA7-07123C5518BF}"/>
    <hyperlink ref="G7" r:id="rId28" display="https://www.mouser.com/ProductDetail/Analog-Devices-Maxim-Integrated/DS3231M+TRL?qs=Bakm8ERcljq5PBzSwLfmgg%3D%3D&amp;utm_id=22337522785&amp;utm_source=google&amp;utm_medium=cpc&amp;utm_marketing_tactic=amercorp&amp;gad_source=1&amp;gad_campaignid=22327353774&amp;gbraid=0AAAAADn_wf3tXOv7c9Y4wq2-Yvx_HD5I2&amp;gclid=Cj0KCQjwgvnCBhCqARIsADBLZoJwmYFO86Wu0iC_hUhm8R9ynjb29I-YIssyZ4USDWwZGmZXPXlNSLQaAlaREALw_wcB" xr:uid="{CBA3015C-15AD-4E96-9E48-B76639C15CC9}"/>
    <hyperlink ref="G18" r:id="rId29" xr:uid="{D9663DC4-76A3-45BB-9383-32E9FD3E3482}"/>
    <hyperlink ref="G19" r:id="rId30" xr:uid="{05851BE9-43B5-4810-BCBB-114F8BF3D559}"/>
    <hyperlink ref="F13" r:id="rId31" xr:uid="{1805C191-986C-4725-B6EA-091F14DE101B}"/>
    <hyperlink ref="F23" r:id="rId32" xr:uid="{743A252F-823E-4766-B636-1E5BC14B3CDC}"/>
    <hyperlink ref="G23" r:id="rId33" xr:uid="{4D67FE36-87DC-4527-B1F0-CC9CFBBBB0BC}"/>
    <hyperlink ref="H23" r:id="rId34" xr:uid="{97BF2DE0-0907-46E3-8E2B-330CF8DE55F5}"/>
    <hyperlink ref="G22" r:id="rId35" xr:uid="{A67606B2-6A7C-4109-8548-6DC2CA26BD11}"/>
    <hyperlink ref="H22" r:id="rId36" xr:uid="{9A04DBD6-670C-4365-8CE5-7D9EF3C6F4F2}"/>
    <hyperlink ref="H24" r:id="rId37" display="https://www.digikey.com/en/products/detail/atlas-scientific/CHEM-PH-S/16003006?gclsrc=aw.ds&amp;gad_source=1&amp;gad_campaignid=23033451739&amp;gbraid=0AAAAADrbLli2XEsCQZ2zgdqvDaP8ZT8-0&amp;gclid=CjwKCAjw3tzHBhBREiwAlMJoUtHQFEOHaOZNh9aVH6VR7LIrpjG4tOYAgYKosI_O4gav5yO-aztHlRoCq9sQAvD_BwE" xr:uid="{A2C98465-1495-49D3-978D-922B50A3BBB4}"/>
    <hyperlink ref="G24" r:id="rId38" display="https://www.dscbalances.com/products/ph-sensor-protect-bottle-10-in-bag?srsltid=AfmBOopmccZQynijm5vo9RKbVMB_JPRNJqYQLrwHuYGu86piXkKum1hi" xr:uid="{1861D382-6B27-43BB-829F-B19532A3ED0B}"/>
    <hyperlink ref="F24" r:id="rId39" xr:uid="{4CA209E8-AB0F-4F7A-AF30-2798AD7AA2B0}"/>
    <hyperlink ref="F22" r:id="rId40" xr:uid="{2EBC3449-95C3-4D2D-AD80-B3EA80AACF4C}"/>
  </hyperlinks>
  <pageMargins left="0.7" right="0.7" top="0.75" bottom="0.75" header="0.3" footer="0.3"/>
  <pageSetup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5CFC-606A-4EB1-BF18-3BEFDFC7363F}">
  <dimension ref="A1:G9"/>
  <sheetViews>
    <sheetView topLeftCell="A6" workbookViewId="0">
      <selection activeCell="F7" sqref="F7"/>
    </sheetView>
  </sheetViews>
  <sheetFormatPr defaultColWidth="8.7265625" defaultRowHeight="14.5" x14ac:dyDescent="0.35"/>
  <cols>
    <col min="1" max="1" width="35.453125" style="19" customWidth="1"/>
    <col min="2" max="2" width="22.81640625" style="20" customWidth="1"/>
    <col min="3" max="4" width="18.81640625" style="16" customWidth="1"/>
    <col min="5" max="5" width="65.453125" style="16" customWidth="1"/>
    <col min="6" max="7" width="58" style="16" customWidth="1"/>
    <col min="8" max="16384" width="8.7265625" style="16"/>
  </cols>
  <sheetData>
    <row r="1" spans="1:7" x14ac:dyDescent="0.35">
      <c r="A1" s="14" t="s">
        <v>66</v>
      </c>
      <c r="B1" s="14" t="s">
        <v>67</v>
      </c>
      <c r="C1" s="14" t="s">
        <v>68</v>
      </c>
      <c r="D1" s="15" t="s">
        <v>69</v>
      </c>
      <c r="E1" s="15" t="s">
        <v>70</v>
      </c>
      <c r="F1" s="15" t="s">
        <v>71</v>
      </c>
      <c r="G1" s="15" t="s">
        <v>72</v>
      </c>
    </row>
    <row r="2" spans="1:7" ht="217.5" x14ac:dyDescent="0.35">
      <c r="A2" s="8" t="s">
        <v>73</v>
      </c>
      <c r="B2" s="17">
        <v>1</v>
      </c>
      <c r="C2" s="21">
        <v>19.559999999999999</v>
      </c>
      <c r="D2" s="21">
        <v>19.559999999999999</v>
      </c>
      <c r="E2" s="5" t="s">
        <v>74</v>
      </c>
      <c r="F2" s="5" t="s">
        <v>75</v>
      </c>
      <c r="G2" s="5"/>
    </row>
    <row r="3" spans="1:7" ht="100" customHeight="1" x14ac:dyDescent="0.35">
      <c r="A3" s="8" t="s">
        <v>76</v>
      </c>
      <c r="B3" s="17" t="s">
        <v>77</v>
      </c>
      <c r="C3" s="17">
        <v>69.69</v>
      </c>
      <c r="D3" s="17">
        <v>7.26</v>
      </c>
      <c r="E3" s="5" t="s">
        <v>78</v>
      </c>
      <c r="F3" s="5"/>
      <c r="G3" s="5"/>
    </row>
    <row r="4" spans="1:7" ht="159" customHeight="1" x14ac:dyDescent="0.35">
      <c r="A4" s="17" t="s">
        <v>79</v>
      </c>
      <c r="B4" s="17">
        <v>1</v>
      </c>
      <c r="C4" s="21">
        <v>1.47</v>
      </c>
      <c r="D4" s="21">
        <v>1.47</v>
      </c>
      <c r="E4" s="5" t="s">
        <v>80</v>
      </c>
      <c r="F4" s="5" t="s">
        <v>81</v>
      </c>
      <c r="G4" s="5" t="s">
        <v>82</v>
      </c>
    </row>
    <row r="5" spans="1:7" ht="159" customHeight="1" x14ac:dyDescent="0.35">
      <c r="A5" s="17" t="s">
        <v>87</v>
      </c>
      <c r="B5" s="17">
        <v>12</v>
      </c>
      <c r="C5" s="21">
        <v>1.1299999999999999</v>
      </c>
      <c r="D5" s="21">
        <v>13.56</v>
      </c>
      <c r="E5" s="5" t="s">
        <v>88</v>
      </c>
      <c r="F5" s="5" t="s">
        <v>95</v>
      </c>
      <c r="G5" s="5"/>
    </row>
    <row r="6" spans="1:7" ht="159" customHeight="1" x14ac:dyDescent="0.35">
      <c r="A6" s="17" t="s">
        <v>85</v>
      </c>
      <c r="B6" s="17">
        <v>4</v>
      </c>
      <c r="C6" s="21">
        <v>0.85</v>
      </c>
      <c r="D6" s="21">
        <v>3.4</v>
      </c>
      <c r="E6" s="5" t="s">
        <v>86</v>
      </c>
      <c r="F6" s="5" t="s">
        <v>94</v>
      </c>
      <c r="G6" s="5"/>
    </row>
    <row r="7" spans="1:7" ht="159" customHeight="1" x14ac:dyDescent="0.35">
      <c r="A7" s="17" t="s">
        <v>89</v>
      </c>
      <c r="B7" s="17">
        <v>4</v>
      </c>
      <c r="C7" s="21">
        <v>0.13</v>
      </c>
      <c r="D7" s="21">
        <v>0.52</v>
      </c>
      <c r="E7" s="5" t="s">
        <v>90</v>
      </c>
      <c r="F7" s="5" t="s">
        <v>96</v>
      </c>
      <c r="G7" s="5"/>
    </row>
    <row r="8" spans="1:7" ht="246.5" x14ac:dyDescent="0.35">
      <c r="A8" s="17" t="s">
        <v>92</v>
      </c>
      <c r="B8" s="17" t="s">
        <v>83</v>
      </c>
      <c r="C8" s="21">
        <v>47.86</v>
      </c>
      <c r="D8" s="21">
        <v>47.86</v>
      </c>
      <c r="E8" s="5" t="s">
        <v>84</v>
      </c>
      <c r="F8" s="5" t="s">
        <v>91</v>
      </c>
      <c r="G8" s="5" t="s">
        <v>93</v>
      </c>
    </row>
    <row r="9" spans="1:7" x14ac:dyDescent="0.35">
      <c r="C9" s="22"/>
      <c r="D9" s="23">
        <f>SUM(D2:D8)</f>
        <v>93.63</v>
      </c>
      <c r="E9" s="18"/>
    </row>
  </sheetData>
  <hyperlinks>
    <hyperlink ref="E8" r:id="rId1" xr:uid="{BB44769E-9C2A-4FEF-A4D5-DBD7D743C569}"/>
    <hyperlink ref="E2" r:id="rId2" xr:uid="{B6F53024-3E40-4537-A6CB-957ECEAB506D}"/>
    <hyperlink ref="E4" r:id="rId3" xr:uid="{C7E53F22-BC80-4F02-BB31-9E92055C075F}"/>
    <hyperlink ref="F2" r:id="rId4" display="https://www.homedepot.com/pep/Apollo-2-in-x-2-in-PVC-Slip-Joint-x-Slip-Joint-Union-PVCU2/317901067?source=shoppingads&amp;locale=en-US&amp;pla&amp;utm_source=google&amp;utm_medium=vantage&amp;utm_campaign=52958&amp;utm_content=55246&amp;mtc=SHOPPING-RM-RMP-GGL-D26P-Multi-NA-APOLLO-NA-PMAX-NA-NA-MK897429001-52958-NBR-876-NA-VNT-FY25_Q1_Q4_THEMOSACKGROUPLLC_D26P_RM_ES_AON&amp;cm_mmc=SHOPPING-RM-RMP-GGL-D26P-Multi-NA-APOLLO-NA-PMAX-NA-NA-MK897429001-52958-NBR-876-NA-VNT-FY25_Q1_Q4_THEMOSACKGROUPLLC_D26P_RM_ES_AON-22224745817--&amp;gad_source=1&amp;gad_campaignid=22228588078&amp;gbraid=0AAAAAolLu989NOds_i5DS89vyDbOz8lsX&amp;gclid=Cj0KCQjwmK_CBhCEARIsAMKwcD4wwYuEy7LBT_5YeRGvsomWTxN9uYDhqX3X0H-OD7fiaDyYfmt8F6IaAkX6EALw_wcB&amp;gclsrc=aw.ds" xr:uid="{EAC7F3EE-311A-448F-ADCF-A6A93E974701}"/>
    <hyperlink ref="E3" r:id="rId5" xr:uid="{2632D8A7-1920-48A2-8E3B-00409A6C33EC}"/>
    <hyperlink ref="F4" r:id="rId6" display="https://www.homedepot.com/pep/Charlotte-Pipe-2-in-PVC-Socket-Schedule-40-Pressure-Cap-PVC021161600HD/203811678?source=shoppingads&amp;locale=en-US&amp;pla&amp;mtc=SHOPPING-BF-CDP-GGL-D26P-026_001_PIPE_FITTING-NA-NA-NA-PLALIA-NA-NA-NA-NA-NBR-NA-NA-NEW-_PLATEST&amp;cm_mmc=SHOPPING-BF-CDP-GGL-D26P-026_001_PIPE_FITTING-NA-NA-NA-PLALIA-NA-NA-NA-NA-NBR-NA-NA-NEW-_PLATEST-22111492781-173962209835-331272778036&amp;gad_source=1&amp;gad_campaignid=22111492781&amp;gbraid=0AAAAADq61UeV86D9Cm_YSFHZ_xQoepPWR&amp;gclid=Cj0KCQjwmK_CBhCEARIsAMKwcD7hsSItt8-j7uHZGoH9ZOHc9dwlTetTnvM1YPIH3krowDG1cA4a5pgaAihuEALw_wcB&amp;gclsrc=aw.ds" xr:uid="{567967C8-8E6D-4379-95E2-13CF4EF3C1C9}"/>
    <hyperlink ref="E6" r:id="rId7" xr:uid="{4AE9199A-CE68-4F53-92E0-06F5CB0D106E}"/>
    <hyperlink ref="E5" r:id="rId8" xr:uid="{03FCB859-3800-41E6-9021-5F1B4C24708F}"/>
    <hyperlink ref="E7" r:id="rId9" display="https://www.digikey.com/en/products/detail/keystone-electronics/4688/4499297?gad_source=1&amp;gad_campaignid=20228387720&amp;gbraid=0AAAAADrbLli1VgbFKUuvpIzwSoUwJlAei&amp;gclid=CjwKCAjwg7PDBhBxEiwAf1CVu7QKEee0JU-K02l5MqVnceC0gdderHe-hLzMdyz4TeR0D3XMq-DznhoC-KUQAvD_BwE&amp;gclsrc=aw.ds" xr:uid="{CDD084B5-EDFE-4046-A768-16EF004917C4}"/>
    <hyperlink ref="G8" r:id="rId10" xr:uid="{C523ED55-EE5F-4281-9F71-7C5211F06C71}"/>
    <hyperlink ref="F6" r:id="rId11" xr:uid="{6C0F9D1D-DEF4-4911-B37D-E1543C801121}"/>
    <hyperlink ref="F5" r:id="rId12" xr:uid="{E01B910B-91B6-416D-8301-76657210DE38}"/>
    <hyperlink ref="F7" r:id="rId13" xr:uid="{82093993-6D6E-408B-B1AF-5A4CD73A2B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Electronics BOM</vt:lpstr>
      <vt:lpstr>Fixture 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asif khan</dc:creator>
  <cp:keywords/>
  <dc:description/>
  <cp:lastModifiedBy>KHAN, Asif</cp:lastModifiedBy>
  <cp:revision/>
  <dcterms:created xsi:type="dcterms:W3CDTF">2024-10-25T13:45:10Z</dcterms:created>
  <dcterms:modified xsi:type="dcterms:W3CDTF">2025-10-21T19:00:07Z</dcterms:modified>
  <cp:category/>
  <cp:contentStatus/>
</cp:coreProperties>
</file>